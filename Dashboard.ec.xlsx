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https://d.docs.live.net/fe76711c9122a62c/Desktop/ecommers project/"/>
    </mc:Choice>
  </mc:AlternateContent>
  <xr:revisionPtr revIDLastSave="3" documentId="8_{B8EB4EB6-9EF2-4CB2-AEE4-321D0D127BF5}" xr6:coauthVersionLast="47" xr6:coauthVersionMax="47" xr10:uidLastSave="{BCA2D378-FB65-40ED-B18A-76D5A4438247}"/>
  <bookViews>
    <workbookView xWindow="-110" yWindow="-110" windowWidth="19420" windowHeight="10300" firstSheet="2" activeTab="2" xr2:uid="{868ABE24-EA05-4A77-8928-705C81F5E065}"/>
  </bookViews>
  <sheets>
    <sheet name="correlation.csv2" sheetId="5" state="hidden" r:id="rId1"/>
    <sheet name="Sheet1" sheetId="1" state="hidden" r:id="rId2"/>
    <sheet name="Dashboard" sheetId="2" r:id="rId3"/>
  </sheets>
  <definedNames>
    <definedName name="Slicer_City">#N/A</definedName>
    <definedName name="Slicer_Order_Date__Year">#N/A</definedName>
    <definedName name="Slicer_Payment_Mode">#N/A</definedName>
    <definedName name="Slicer_Region">#N/A</definedName>
  </definedNames>
  <calcPr calcId="191029"/>
  <pivotCaches>
    <pivotCache cacheId="1" r:id="rId4"/>
    <pivotCache cacheId="2" r:id="rId5"/>
    <pivotCache cacheId="3" r:id="rId6"/>
    <pivotCache cacheId="4" r:id="rId7"/>
    <pivotCache cacheId="11" r:id="rId8"/>
  </pivotCaches>
  <extLst>
    <ext xmlns:x14="http://schemas.microsoft.com/office/spreadsheetml/2009/9/main" uri="{876F7934-8845-4945-9796-88D515C7AA90}">
      <x14:pivotCaches>
        <pivotCache cacheId="5" r:id="rId9"/>
      </x14:pivotCaches>
    </ex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commerce_Sales_Data_2024_2025" name="Ecommerce_Sales_Data_2024_2025" connection="Ecommerce_Sales_Data_2024_2025"/>
        </x15:modelTables>
        <x15:extLst>
          <ext xmlns:x16="http://schemas.microsoft.com/office/spreadsheetml/2014/11/main" uri="{9835A34E-60A6-4A7C-AAB8-D5F71C897F49}">
            <x16:modelTimeGroupings>
              <x16:modelTimeGrouping tableName="Ecommerce_Sales_Data_2024_2025" columnName="Order Date" columnId="Order Date">
                <x16:calculatedTimeColumn columnName="Order Date (Year)" columnId="Order Date (Year)" contentType="yea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3"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91DAB6-D077-4D9E-8338-4B80046D704B}" name="Ecommerce_Sales_Data_2024_2025" type="103" refreshedVersion="8" minRefreshableVersion="5">
    <extLst>
      <ext xmlns:x15="http://schemas.microsoft.com/office/spreadsheetml/2010/11/main" uri="{DE250136-89BD-433C-8126-D09CA5730AF9}">
        <x15:connection id="Ecommerce_Sales_Data_2024_2025" autoDelete="1">
          <x15:textPr prompt="0" codePage="437" sourceFile="C:\Users\canva\OneDrive\Desktop\Ecommerce_Sales_Data_2024_2025.csv" tab="0" delimiter=",">
            <textFields count="14">
              <textField/>
              <textField type="YMD"/>
              <textField/>
              <textField/>
              <textField/>
              <textField/>
              <textField/>
              <textField/>
              <textField/>
              <textField/>
              <textField/>
              <textField/>
              <textField/>
              <textField/>
            </textFields>
          </x15:textPr>
          <x15:modelTextPr headers="1"/>
        </x15:connection>
      </ext>
    </extLst>
  </connection>
  <connection id="2" xr16:uid="{6CE798EF-56BE-409C-87B2-8B4BB5B89F4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<sst xmlns="http://schemas.openxmlformats.org/spreadsheetml/2006/main" count="87" uniqueCount="57">
  <si>
    <t>Row Labels</t>
  </si>
  <si>
    <t>Beauty</t>
  </si>
  <si>
    <t>Books</t>
  </si>
  <si>
    <t>Clothing</t>
  </si>
  <si>
    <t>Electronics</t>
  </si>
  <si>
    <t>Furniture</t>
  </si>
  <si>
    <t>Groceries</t>
  </si>
  <si>
    <t>Home Decor</t>
  </si>
  <si>
    <t>Kitchen</t>
  </si>
  <si>
    <t>Sports</t>
  </si>
  <si>
    <t>Toys</t>
  </si>
  <si>
    <t>Grand Total</t>
  </si>
  <si>
    <t>Sum of Sales</t>
  </si>
  <si>
    <t>Sum of Profit</t>
  </si>
  <si>
    <t>Action Figure</t>
  </si>
  <si>
    <t>Bed</t>
  </si>
  <si>
    <t>Clock</t>
  </si>
  <si>
    <t>Cricket Bat</t>
  </si>
  <si>
    <t>Fiction</t>
  </si>
  <si>
    <t>Football</t>
  </si>
  <si>
    <t>Headphones</t>
  </si>
  <si>
    <t>Juicer</t>
  </si>
  <si>
    <t>Kids Wear</t>
  </si>
  <si>
    <t>Lamp</t>
  </si>
  <si>
    <t>Mixer Grinder</t>
  </si>
  <si>
    <t>Non-Fiction</t>
  </si>
  <si>
    <t>Shoes</t>
  </si>
  <si>
    <t>Sofa</t>
  </si>
  <si>
    <t>Spices</t>
  </si>
  <si>
    <t>Table</t>
  </si>
  <si>
    <t>Tennis Racket</t>
  </si>
  <si>
    <t>Wall Art</t>
  </si>
  <si>
    <t>Women's Wear</t>
  </si>
  <si>
    <t xml:space="preserve">Profit_margin </t>
  </si>
  <si>
    <t>Oct</t>
  </si>
  <si>
    <t>Nov</t>
  </si>
  <si>
    <t>Dec</t>
  </si>
  <si>
    <t>Jan</t>
  </si>
  <si>
    <t>Feb</t>
  </si>
  <si>
    <t>Mar</t>
  </si>
  <si>
    <t>Apr</t>
  </si>
  <si>
    <t>May</t>
  </si>
  <si>
    <t>Jun</t>
  </si>
  <si>
    <t>Jul</t>
  </si>
  <si>
    <t>Aug</t>
  </si>
  <si>
    <t>Sep</t>
  </si>
  <si>
    <t>DASHBOARD</t>
  </si>
  <si>
    <t>Total Sales 💸 $1.6B</t>
  </si>
  <si>
    <t>Profit Margin 📌 14.94%</t>
  </si>
  <si>
    <t>Orders 🛒 5000</t>
  </si>
  <si>
    <t>Pearson R</t>
  </si>
  <si>
    <t>sales_</t>
  </si>
  <si>
    <t>discount</t>
  </si>
  <si>
    <t>sub-category</t>
  </si>
  <si>
    <t>Total Profit📶    $239.13M</t>
  </si>
  <si>
    <t>Revenue</t>
  </si>
  <si>
    <t>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</si>
</sst>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quot;$&quot;#,##0"/>
    <numFmt numFmtId="165" formatCode="0.00%;\-0.00%;0.00%"/>
    <numFmt numFmtId="166" formatCode="_(&quot;$&quot;* #,##0_);_(&quot;$&quot;* \(#,##0\);_(&quot;$&quot;* &quot;-&quot;??_);_(@_)"/>
  </numFmts>
  <fonts count="8"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72"/>
      <color theme="2"/>
      <name val="Bahnschrift"/>
      <family val="2"/>
    </font>
    <font>
      <sz val="72"/>
      <color theme="2"/>
      <name val="Bahnschrift Condensed"/>
      <family val="2"/>
    </font>
    <font>
      <sz val="20"/>
      <color theme="2"/>
      <name val="Bahnschrift Condensed"/>
      <family val="2"/>
    </font>
    <font>
      <b/>
      <sz val="20"/>
      <color theme="2"/>
      <name val="Bahnschrift Condensed"/>
      <family val="2"/>
    </font>
  </fonts>
  <fills count="8">
    <fill>
      <patternFill patternType="none"/>
    </fill>
    <fill>
      <patternFill patternType="gray125"/>
    </fill>
    <fill>
      <patternFill patternType="solid">
        <fgColor theme="5" tint="0.79998168889431442"/>
        <bgColor indexed="65"/>
      </patternFill>
    </fill>
    <fill>
      <patternFill patternType="solid">
        <fgColor rgb="FFFFFF00"/>
        <bgColor indexed="64"/>
      </patternFill>
    </fill>
    <fill>
      <patternFill patternType="solid">
        <fgColor theme="1" tint="4.9989318521683403E-2"/>
        <bgColor indexed="64"/>
      </patternFill>
    </fill>
    <fill>
      <patternFill patternType="solid">
        <fgColor theme="4" tint="-0.249977111117893"/>
        <bgColor indexed="64"/>
      </patternFill>
    </fill>
    <fill>
      <patternFill patternType="solid">
        <fgColor theme="4" tint="-0.499984740745262"/>
        <bgColor indexed="64"/>
      </patternFill>
    </fill>
    <fill>
      <patternFill patternType="solid">
        <fgColor theme="0" tint="-4.9989318521683403E-2"/>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44" fontId="1" fillId="0" borderId="0" applyFont="0" applyFill="0" applyBorder="0" applyAlignment="0" applyProtection="0"/>
    <xf numFmtId="0" fontId="1" fillId="2" borderId="0" applyNumberFormat="0" applyBorder="0" applyAlignment="0" applyProtection="0"/>
  </cellStyleXfs>
  <cellXfs count="45">
    <xf numFmtId="0" fontId="0" fillId="0" borderId="0" xfId="0"/>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65" fontId="0" fillId="0" borderId="0" xfId="0" applyNumberFormat="1"/>
    <xf numFmtId="0" fontId="0" fillId="0" borderId="0" xfId="0" applyBorder="1"/>
    <xf numFmtId="166" fontId="0" fillId="0" borderId="0" xfId="1" applyNumberFormat="1" applyFont="1"/>
    <xf numFmtId="2" fontId="3" fillId="3" borderId="1" xfId="1" applyNumberFormat="1" applyFont="1" applyFill="1" applyBorder="1" applyAlignment="1">
      <alignment horizontal="left"/>
    </xf>
    <xf numFmtId="0" fontId="2" fillId="4" borderId="1" xfId="0" applyFont="1" applyFill="1" applyBorder="1"/>
    <xf numFmtId="166" fontId="0" fillId="0" borderId="1" xfId="1" applyNumberFormat="1" applyFont="1" applyBorder="1"/>
    <xf numFmtId="0" fontId="0" fillId="0" borderId="1" xfId="0" applyBorder="1"/>
    <xf numFmtId="166" fontId="1" fillId="2" borderId="1" xfId="1" applyNumberFormat="1" applyFill="1" applyBorder="1"/>
    <xf numFmtId="0" fontId="1" fillId="2" borderId="1" xfId="2" applyBorder="1"/>
    <xf numFmtId="0" fontId="0" fillId="0" borderId="11" xfId="0" applyBorder="1"/>
    <xf numFmtId="0" fontId="0" fillId="6" borderId="21" xfId="0" applyFill="1" applyBorder="1"/>
    <xf numFmtId="0" fontId="0" fillId="6" borderId="22" xfId="0" applyFill="1" applyBorder="1"/>
    <xf numFmtId="0" fontId="0" fillId="6" borderId="23" xfId="0" applyFill="1" applyBorder="1"/>
    <xf numFmtId="0" fontId="0" fillId="7" borderId="12" xfId="0" applyFill="1" applyBorder="1"/>
    <xf numFmtId="0" fontId="0" fillId="7" borderId="10" xfId="0" applyFill="1" applyBorder="1"/>
    <xf numFmtId="0" fontId="0" fillId="7" borderId="13" xfId="0" applyFill="1" applyBorder="1"/>
    <xf numFmtId="0" fontId="0" fillId="7" borderId="11" xfId="0" applyFill="1" applyBorder="1"/>
    <xf numFmtId="0" fontId="0" fillId="7" borderId="0" xfId="0" applyFill="1" applyBorder="1"/>
    <xf numFmtId="0" fontId="0" fillId="7" borderId="14" xfId="0" applyFill="1" applyBorder="1"/>
    <xf numFmtId="0" fontId="7" fillId="5" borderId="2" xfId="0" applyFont="1" applyFill="1" applyBorder="1" applyAlignment="1">
      <alignment horizontal="center" vertical="center"/>
    </xf>
    <xf numFmtId="0" fontId="6" fillId="5" borderId="3" xfId="0" applyFont="1" applyFill="1" applyBorder="1" applyAlignment="1">
      <alignment horizontal="center" vertical="center"/>
    </xf>
    <xf numFmtId="0" fontId="6" fillId="5" borderId="4" xfId="0" applyFont="1" applyFill="1" applyBorder="1" applyAlignment="1">
      <alignment horizontal="center" vertical="center"/>
    </xf>
    <xf numFmtId="0" fontId="6" fillId="5" borderId="5" xfId="0" applyFont="1" applyFill="1" applyBorder="1" applyAlignment="1">
      <alignment horizontal="center" vertical="center"/>
    </xf>
    <xf numFmtId="0" fontId="6" fillId="5" borderId="1" xfId="0" applyFont="1" applyFill="1" applyBorder="1" applyAlignment="1">
      <alignment horizontal="center" vertical="center"/>
    </xf>
    <xf numFmtId="0" fontId="6" fillId="5" borderId="6" xfId="0" applyFont="1" applyFill="1" applyBorder="1" applyAlignment="1">
      <alignment horizontal="center" vertical="center"/>
    </xf>
    <xf numFmtId="0" fontId="6" fillId="5" borderId="7" xfId="0" applyFont="1" applyFill="1" applyBorder="1" applyAlignment="1">
      <alignment horizontal="center" vertical="center"/>
    </xf>
    <xf numFmtId="0" fontId="6" fillId="5" borderId="8" xfId="0" applyFont="1" applyFill="1" applyBorder="1" applyAlignment="1">
      <alignment horizontal="center" vertical="center"/>
    </xf>
    <xf numFmtId="0" fontId="6" fillId="5" borderId="9" xfId="0" applyFont="1" applyFill="1" applyBorder="1" applyAlignment="1">
      <alignment horizontal="center" vertical="center"/>
    </xf>
    <xf numFmtId="0" fontId="7" fillId="5" borderId="19" xfId="0" applyFont="1" applyFill="1" applyBorder="1" applyAlignment="1">
      <alignment horizontal="center" vertical="center"/>
    </xf>
    <xf numFmtId="0" fontId="6" fillId="5" borderId="18" xfId="0" applyFont="1" applyFill="1" applyBorder="1" applyAlignment="1">
      <alignment horizontal="center" vertical="center"/>
    </xf>
    <xf numFmtId="0" fontId="6" fillId="5" borderId="20" xfId="0" applyFont="1" applyFill="1" applyBorder="1" applyAlignment="1">
      <alignment horizontal="center" vertical="center"/>
    </xf>
    <xf numFmtId="0" fontId="4" fillId="6" borderId="12" xfId="0" applyFont="1" applyFill="1" applyBorder="1" applyAlignment="1">
      <alignment horizontal="center"/>
    </xf>
    <xf numFmtId="0" fontId="5" fillId="6" borderId="10" xfId="0" applyFont="1" applyFill="1" applyBorder="1" applyAlignment="1">
      <alignment horizontal="center"/>
    </xf>
    <xf numFmtId="0" fontId="5" fillId="6" borderId="13" xfId="0" applyFont="1" applyFill="1" applyBorder="1" applyAlignment="1">
      <alignment horizontal="center"/>
    </xf>
    <xf numFmtId="0" fontId="5" fillId="6" borderId="11" xfId="0" applyFont="1" applyFill="1" applyBorder="1" applyAlignment="1">
      <alignment horizontal="center"/>
    </xf>
    <xf numFmtId="0" fontId="5" fillId="6" borderId="0" xfId="0" applyFont="1" applyFill="1" applyBorder="1" applyAlignment="1">
      <alignment horizontal="center"/>
    </xf>
    <xf numFmtId="0" fontId="5" fillId="6" borderId="14" xfId="0" applyFont="1" applyFill="1" applyBorder="1" applyAlignment="1">
      <alignment horizontal="center"/>
    </xf>
    <xf numFmtId="0" fontId="5" fillId="6" borderId="15" xfId="0" applyFont="1" applyFill="1" applyBorder="1" applyAlignment="1">
      <alignment horizontal="center"/>
    </xf>
    <xf numFmtId="0" fontId="5" fillId="6" borderId="16" xfId="0" applyFont="1" applyFill="1" applyBorder="1" applyAlignment="1">
      <alignment horizontal="center"/>
    </xf>
    <xf numFmtId="0" fontId="5" fillId="6" borderId="17" xfId="0" applyFont="1" applyFill="1" applyBorder="1" applyAlignment="1">
      <alignment horizontal="center"/>
    </xf>
  </cellXfs>
  <cellStyles count="3">
    <cellStyle name="20% - Accent2" xfId="2" builtinId="34"/>
    <cellStyle name="Currency" xfId="1" builtinId="4"/>
    <cellStyle name="Normal" xfId="0" builtinId="0"/>
  </cellStyles>
  <dxfs count="1">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4.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4.xml"/><Relationship Id="rId12" Type="http://schemas.microsoft.com/office/2007/relationships/slicerCache" Target="slicerCaches/slicerCache3.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2.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microsoft.com/office/2007/relationships/slicerCache" Target="slicerCaches/slicerCache1.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[Dashboard.ec.xlsx]Sheet1!PivotTable1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kern="1200" baseline="0">
                <a:solidFill>
                  <a:schemeClr val="bg1">
                    <a:lumMod val="50000"/>
                  </a:schemeClr>
                </a:solidFill>
              </a:rPr>
              <a:t>Which categories generate the highest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c:f>
              <c:strCache>
                <c:ptCount val="1"/>
                <c:pt idx="0">
                  <c:v>Total</c:v>
                </c:pt>
              </c:strCache>
            </c:strRef>
          </c:tx>
          <c:spPr>
            <a:solidFill>
              <a:schemeClr val="accent1"/>
            </a:solidFill>
            <a:ln>
              <a:noFill/>
            </a:ln>
            <a:effectLst/>
          </c:spPr>
          <c:invertIfNegative val="0"/>
          <c:cat>
            <c:strRef>
              <c:f>Sheet1!$A$2:$A$12</c:f>
              <c:strCache>
                <c:ptCount val="10"/>
                <c:pt idx="0">
                  <c:v>Groceries</c:v>
                </c:pt>
                <c:pt idx="1">
                  <c:v>Beauty</c:v>
                </c:pt>
                <c:pt idx="2">
                  <c:v>Sports</c:v>
                </c:pt>
                <c:pt idx="3">
                  <c:v>Toys</c:v>
                </c:pt>
                <c:pt idx="4">
                  <c:v>Electronics</c:v>
                </c:pt>
                <c:pt idx="5">
                  <c:v>Kitchen</c:v>
                </c:pt>
                <c:pt idx="6">
                  <c:v>Books</c:v>
                </c:pt>
                <c:pt idx="7">
                  <c:v>Clothing</c:v>
                </c:pt>
                <c:pt idx="8">
                  <c:v>Furniture</c:v>
                </c:pt>
                <c:pt idx="9">
                  <c:v>Home Decor</c:v>
                </c:pt>
              </c:strCache>
            </c:strRef>
          </c:cat>
          <c:val>
            <c:numRef>
              <c:f>Sheet1!$B$2:$B$12</c:f>
              <c:numCache>
                <c:formatCode>"$"#,##0</c:formatCode>
                <c:ptCount val="10"/>
                <c:pt idx="0">
                  <c:v>47883103.149999999</c:v>
                </c:pt>
                <c:pt idx="1">
                  <c:v>50803409.700000003</c:v>
                </c:pt>
                <c:pt idx="2">
                  <c:v>52069397.25</c:v>
                </c:pt>
                <c:pt idx="3">
                  <c:v>52227366.450000003</c:v>
                </c:pt>
                <c:pt idx="4">
                  <c:v>52587883.950000003</c:v>
                </c:pt>
                <c:pt idx="5">
                  <c:v>54227902.299999997</c:v>
                </c:pt>
                <c:pt idx="6">
                  <c:v>54932643</c:v>
                </c:pt>
                <c:pt idx="7">
                  <c:v>55053908.299999997</c:v>
                </c:pt>
                <c:pt idx="8">
                  <c:v>56647187.899999999</c:v>
                </c:pt>
                <c:pt idx="9">
                  <c:v>57233222.350000001</c:v>
                </c:pt>
              </c:numCache>
            </c:numRef>
          </c:val>
          <c:extLst>
            <c:ext xmlns:c16="http://schemas.microsoft.com/office/drawing/2014/chart" uri="{C3380CC4-5D6E-409C-BE32-E72D297353CC}">
              <c16:uniqueId val="{00000000-ECC6-44EA-B27B-F29EBE19F799}"/>
            </c:ext>
          </c:extLst>
        </c:ser>
        <c:dLbls>
          <c:showLegendKey val="0"/>
          <c:showVal val="0"/>
          <c:showCatName val="0"/>
          <c:showSerName val="0"/>
          <c:showPercent val="0"/>
          <c:showBubbleSize val="0"/>
        </c:dLbls>
        <c:gapWidth val="182"/>
        <c:axId val="930136735"/>
        <c:axId val="930158815"/>
      </c:barChart>
      <c:catAx>
        <c:axId val="930136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158815"/>
        <c:crosses val="autoZero"/>
        <c:auto val="1"/>
        <c:lblAlgn val="ctr"/>
        <c:lblOffset val="100"/>
        <c:noMultiLvlLbl val="0"/>
      </c:catAx>
      <c:valAx>
        <c:axId val="93015881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136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[Dashboard.ec.xlsx]Sheet1!PivotTable3</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700">
                <a:solidFill>
                  <a:schemeClr val="bg1">
                    <a:lumMod val="50000"/>
                  </a:schemeClr>
                </a:solidFill>
              </a:rPr>
              <a:t>Which</a:t>
            </a:r>
            <a:r>
              <a:rPr lang="en-US" sz="1700" baseline="0">
                <a:solidFill>
                  <a:schemeClr val="bg1">
                    <a:lumMod val="50000"/>
                  </a:schemeClr>
                </a:solidFill>
              </a:rPr>
              <a:t> sub-categories generate the highest revenue?</a:t>
            </a:r>
            <a:endParaRPr lang="en-US" sz="1700">
              <a:solidFill>
                <a:schemeClr val="bg1">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Sheet1!$D$2:$D$12</c:f>
              <c:strCache>
                <c:ptCount val="10"/>
                <c:pt idx="0">
                  <c:v>Sofa</c:v>
                </c:pt>
                <c:pt idx="1">
                  <c:v>Lamp</c:v>
                </c:pt>
                <c:pt idx="2">
                  <c:v>Tennis Racket</c:v>
                </c:pt>
                <c:pt idx="3">
                  <c:v>Women's Wear</c:v>
                </c:pt>
                <c:pt idx="4">
                  <c:v>Fiction</c:v>
                </c:pt>
                <c:pt idx="5">
                  <c:v>Non-Fiction</c:v>
                </c:pt>
                <c:pt idx="6">
                  <c:v>Bed</c:v>
                </c:pt>
                <c:pt idx="7">
                  <c:v>Juicer</c:v>
                </c:pt>
                <c:pt idx="8">
                  <c:v>Headphones</c:v>
                </c:pt>
                <c:pt idx="9">
                  <c:v>Football</c:v>
                </c:pt>
              </c:strCache>
            </c:strRef>
          </c:cat>
          <c:val>
            <c:numRef>
              <c:f>Sheet1!$E$2:$E$12</c:f>
              <c:numCache>
                <c:formatCode>"$"#,##0</c:formatCode>
                <c:ptCount val="10"/>
                <c:pt idx="0">
                  <c:v>15185544.25</c:v>
                </c:pt>
                <c:pt idx="1">
                  <c:v>14767580.199999999</c:v>
                </c:pt>
                <c:pt idx="2">
                  <c:v>12934015.25</c:v>
                </c:pt>
                <c:pt idx="3">
                  <c:v>12646602.9</c:v>
                </c:pt>
                <c:pt idx="4">
                  <c:v>12376112.800000001</c:v>
                </c:pt>
                <c:pt idx="5">
                  <c:v>12219033.75</c:v>
                </c:pt>
                <c:pt idx="6">
                  <c:v>12211588.6</c:v>
                </c:pt>
                <c:pt idx="7">
                  <c:v>12194033.75</c:v>
                </c:pt>
                <c:pt idx="8">
                  <c:v>12058508.6</c:v>
                </c:pt>
                <c:pt idx="9">
                  <c:v>11779009.1</c:v>
                </c:pt>
              </c:numCache>
            </c:numRef>
          </c:val>
          <c:extLst>
            <c:ext xmlns:c16="http://schemas.microsoft.com/office/drawing/2014/chart" uri="{C3380CC4-5D6E-409C-BE32-E72D297353CC}">
              <c16:uniqueId val="{00000001-4AB6-4999-A2A1-76F976F44F90}"/>
            </c:ext>
          </c:extLst>
        </c:ser>
        <c:dLbls>
          <c:showLegendKey val="0"/>
          <c:showVal val="0"/>
          <c:showCatName val="0"/>
          <c:showSerName val="0"/>
          <c:showPercent val="0"/>
          <c:showBubbleSize val="0"/>
        </c:dLbls>
        <c:gapWidth val="100"/>
        <c:overlap val="-24"/>
        <c:axId val="628657103"/>
        <c:axId val="628656143"/>
      </c:barChart>
      <c:catAx>
        <c:axId val="62865710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28656143"/>
        <c:crosses val="autoZero"/>
        <c:auto val="1"/>
        <c:lblAlgn val="ctr"/>
        <c:lblOffset val="100"/>
        <c:noMultiLvlLbl val="0"/>
      </c:catAx>
      <c:valAx>
        <c:axId val="628656143"/>
        <c:scaling>
          <c:orientation val="minMax"/>
        </c:scaling>
        <c:delete val="0"/>
        <c:axPos val="l"/>
        <c:majorGridlines>
          <c:spPr>
            <a:ln w="9525" cap="flat" cmpd="sng" algn="ctr">
              <a:solidFill>
                <a:schemeClr val="tx2">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28657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[Dashboard.ec.xlsx]Sheet1!PivotTable2</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0E2841"/>
                </a:solidFill>
                <a:latin typeface="+mn-lt"/>
                <a:ea typeface="+mn-ea"/>
                <a:cs typeface="+mn-cs"/>
              </a:defRPr>
            </a:pPr>
            <a:r>
              <a:rPr lang="en-US" sz="1600" b="1" i="0" u="none" strike="noStrike" kern="1200" baseline="0">
                <a:solidFill>
                  <a:schemeClr val="bg1">
                    <a:lumMod val="50000"/>
                  </a:schemeClr>
                </a:solidFill>
              </a:rPr>
              <a:t>Which categories generate the highest profit?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0E284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Sheet1!$A$15:$A$25</c:f>
              <c:strCache>
                <c:ptCount val="10"/>
                <c:pt idx="0">
                  <c:v>Furniture</c:v>
                </c:pt>
                <c:pt idx="1">
                  <c:v>Home Decor</c:v>
                </c:pt>
                <c:pt idx="2">
                  <c:v>Clothing</c:v>
                </c:pt>
                <c:pt idx="3">
                  <c:v>Books</c:v>
                </c:pt>
                <c:pt idx="4">
                  <c:v>Electronics</c:v>
                </c:pt>
                <c:pt idx="5">
                  <c:v>Toys</c:v>
                </c:pt>
                <c:pt idx="6">
                  <c:v>Kitchen</c:v>
                </c:pt>
                <c:pt idx="7">
                  <c:v>Sports</c:v>
                </c:pt>
                <c:pt idx="8">
                  <c:v>Beauty</c:v>
                </c:pt>
                <c:pt idx="9">
                  <c:v>Groceries</c:v>
                </c:pt>
              </c:strCache>
            </c:strRef>
          </c:cat>
          <c:val>
            <c:numRef>
              <c:f>Sheet1!$B$15:$B$25</c:f>
              <c:numCache>
                <c:formatCode>"$"#,##0</c:formatCode>
                <c:ptCount val="10"/>
                <c:pt idx="0">
                  <c:v>8693087.0299999993</c:v>
                </c:pt>
                <c:pt idx="1">
                  <c:v>8556846.9399999995</c:v>
                </c:pt>
                <c:pt idx="2">
                  <c:v>8445750.2899999991</c:v>
                </c:pt>
                <c:pt idx="3">
                  <c:v>8076273.29</c:v>
                </c:pt>
                <c:pt idx="4">
                  <c:v>8042133.8799999999</c:v>
                </c:pt>
                <c:pt idx="5">
                  <c:v>7986871.4400000004</c:v>
                </c:pt>
                <c:pt idx="6">
                  <c:v>7879573.29</c:v>
                </c:pt>
                <c:pt idx="7">
                  <c:v>7739430.04</c:v>
                </c:pt>
                <c:pt idx="8">
                  <c:v>7213436.0700000003</c:v>
                </c:pt>
                <c:pt idx="9">
                  <c:v>7075332.6399999997</c:v>
                </c:pt>
              </c:numCache>
            </c:numRef>
          </c:val>
          <c:extLst>
            <c:ext xmlns:c16="http://schemas.microsoft.com/office/drawing/2014/chart" uri="{C3380CC4-5D6E-409C-BE32-E72D297353CC}">
              <c16:uniqueId val="{00000023-FFED-4216-9650-B045741D178E}"/>
            </c:ext>
          </c:extLst>
        </c:ser>
        <c:dLbls>
          <c:showLegendKey val="0"/>
          <c:showVal val="0"/>
          <c:showCatName val="0"/>
          <c:showSerName val="0"/>
          <c:showPercent val="0"/>
          <c:showBubbleSize val="0"/>
        </c:dLbls>
        <c:gapWidth val="100"/>
        <c:overlap val="-24"/>
        <c:axId val="1383540351"/>
        <c:axId val="1383542271"/>
      </c:barChart>
      <c:catAx>
        <c:axId val="138354035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83542271"/>
        <c:crosses val="autoZero"/>
        <c:auto val="1"/>
        <c:lblAlgn val="ctr"/>
        <c:lblOffset val="100"/>
        <c:noMultiLvlLbl val="0"/>
      </c:catAx>
      <c:valAx>
        <c:axId val="1383542271"/>
        <c:scaling>
          <c:orientation val="minMax"/>
        </c:scaling>
        <c:delete val="0"/>
        <c:axPos val="l"/>
        <c:majorGridlines>
          <c:spPr>
            <a:ln w="9525" cap="flat" cmpd="sng" algn="ctr">
              <a:solidFill>
                <a:schemeClr val="tx2">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83540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[Dashboard.ec.xlsx]Sheet1!PivotTable4</c:name>
    <c:fmtId val="4"/>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Which</a:t>
            </a:r>
            <a:r>
              <a:rPr lang="en-US" baseline="0"/>
              <a:t> sub-categories have the highest profit margins?</a:t>
            </a:r>
            <a:endParaRPr lang="en-US"/>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Sheet1!$E$14</c:f>
              <c:strCache>
                <c:ptCount val="1"/>
                <c:pt idx="0">
                  <c:v>Total</c:v>
                </c:pt>
              </c:strCache>
            </c:strRef>
          </c:tx>
          <c:spPr>
            <a:ln w="22225" cap="rnd">
              <a:solidFill>
                <a:schemeClr val="accent1"/>
              </a:solidFill>
              <a:round/>
            </a:ln>
            <a:effectLst/>
          </c:spPr>
          <c:marker>
            <c:symbol val="none"/>
          </c:marker>
          <c:errBars>
            <c:errDir val="y"/>
            <c:errBarType val="both"/>
            <c:errValType val="stdErr"/>
            <c:noEndCap val="0"/>
            <c:spPr>
              <a:noFill/>
              <a:ln w="9525" cap="flat" cmpd="sng" algn="ctr">
                <a:solidFill>
                  <a:schemeClr val="dk1">
                    <a:lumMod val="50000"/>
                    <a:lumOff val="50000"/>
                  </a:schemeClr>
                </a:solidFill>
                <a:round/>
              </a:ln>
              <a:effectLst/>
            </c:spPr>
          </c:errBars>
          <c:cat>
            <c:strRef>
              <c:f>Sheet1!$D$15:$D$25</c:f>
              <c:strCache>
                <c:ptCount val="10"/>
                <c:pt idx="0">
                  <c:v>Mixer Grinder</c:v>
                </c:pt>
                <c:pt idx="1">
                  <c:v>Shoes</c:v>
                </c:pt>
                <c:pt idx="2">
                  <c:v>Action Figure</c:v>
                </c:pt>
                <c:pt idx="3">
                  <c:v>Cricket Bat</c:v>
                </c:pt>
                <c:pt idx="4">
                  <c:v>Table</c:v>
                </c:pt>
                <c:pt idx="5">
                  <c:v>Non-Fiction</c:v>
                </c:pt>
                <c:pt idx="6">
                  <c:v>Spices</c:v>
                </c:pt>
                <c:pt idx="7">
                  <c:v>Wall Art</c:v>
                </c:pt>
                <c:pt idx="8">
                  <c:v>Kids Wear</c:v>
                </c:pt>
                <c:pt idx="9">
                  <c:v>Clock</c:v>
                </c:pt>
              </c:strCache>
            </c:strRef>
          </c:cat>
          <c:val>
            <c:numRef>
              <c:f>Sheet1!$E$15:$E$25</c:f>
              <c:numCache>
                <c:formatCode>0.00%;\-0.00%;0.00%</c:formatCode>
                <c:ptCount val="10"/>
                <c:pt idx="0">
                  <c:v>0.17091681296345931</c:v>
                </c:pt>
                <c:pt idx="1">
                  <c:v>0.16493192298408871</c:v>
                </c:pt>
                <c:pt idx="2">
                  <c:v>0.16464972579310905</c:v>
                </c:pt>
                <c:pt idx="3">
                  <c:v>0.16123998117495977</c:v>
                </c:pt>
                <c:pt idx="4">
                  <c:v>0.1604104856418786</c:v>
                </c:pt>
                <c:pt idx="5">
                  <c:v>0.1591922135414349</c:v>
                </c:pt>
                <c:pt idx="6">
                  <c:v>0.15831663926740483</c:v>
                </c:pt>
                <c:pt idx="7">
                  <c:v>0.1582367758240478</c:v>
                </c:pt>
                <c:pt idx="8">
                  <c:v>0.15739996347731883</c:v>
                </c:pt>
                <c:pt idx="9">
                  <c:v>0.15729372675796727</c:v>
                </c:pt>
              </c:numCache>
            </c:numRef>
          </c:val>
          <c:smooth val="0"/>
          <c:extLst>
            <c:ext xmlns:c16="http://schemas.microsoft.com/office/drawing/2014/chart" uri="{C3380CC4-5D6E-409C-BE32-E72D297353CC}">
              <c16:uniqueId val="{00000001-3672-400C-8DE6-E07BE6AB634B}"/>
            </c:ext>
          </c:extLst>
        </c:ser>
        <c:dLbls>
          <c:showLegendKey val="0"/>
          <c:showVal val="0"/>
          <c:showCatName val="0"/>
          <c:showSerName val="0"/>
          <c:showPercent val="0"/>
          <c:showBubbleSize val="0"/>
        </c:dLbls>
        <c:smooth val="0"/>
        <c:axId val="1526723615"/>
        <c:axId val="1526724575"/>
      </c:lineChart>
      <c:catAx>
        <c:axId val="152672361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526724575"/>
        <c:crosses val="autoZero"/>
        <c:auto val="1"/>
        <c:lblAlgn val="ctr"/>
        <c:lblOffset val="100"/>
        <c:noMultiLvlLbl val="0"/>
      </c:catAx>
      <c:valAx>
        <c:axId val="1526724575"/>
        <c:scaling>
          <c:orientation val="minMax"/>
        </c:scaling>
        <c:delete val="0"/>
        <c:axPos val="l"/>
        <c:numFmt formatCode="0.00%;\-0.00%;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526723615"/>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[Dashboard.ec.xlsx]Sheet1!PivotTable5</c:name>
    <c:fmtId val="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sz="1600" b="1"/>
              <a:t>How</a:t>
            </a:r>
            <a:r>
              <a:rPr lang="en-US" sz="1600" b="1" baseline="0"/>
              <a:t> does revenue and profit change over time ?</a:t>
            </a:r>
            <a:endParaRPr lang="en-US" sz="1600" b="1"/>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Sheet1!$B$27</c:f>
              <c:strCache>
                <c:ptCount val="1"/>
                <c:pt idx="0">
                  <c:v>Revenue</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Sheet1!$A$28:$A$40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Sheet1!$B$28:$B$40</c:f>
              <c:numCache>
                <c:formatCode>"$"#,##0</c:formatCode>
                <c:ptCount val="12"/>
                <c:pt idx="0">
                  <c:v>42998043.200000003</c:v>
                </c:pt>
                <c:pt idx="1">
                  <c:v>39755842.600000001</c:v>
                </c:pt>
                <c:pt idx="2">
                  <c:v>44174004.100000001</c:v>
                </c:pt>
                <c:pt idx="3">
                  <c:v>43868599</c:v>
                </c:pt>
                <c:pt idx="4">
                  <c:v>50755715.200000003</c:v>
                </c:pt>
                <c:pt idx="5">
                  <c:v>42524458.700000003</c:v>
                </c:pt>
                <c:pt idx="6">
                  <c:v>46545851.450000003</c:v>
                </c:pt>
                <c:pt idx="7">
                  <c:v>46617810.700000003</c:v>
                </c:pt>
                <c:pt idx="8">
                  <c:v>40611678.75</c:v>
                </c:pt>
                <c:pt idx="9">
                  <c:v>46306477.25</c:v>
                </c:pt>
                <c:pt idx="10">
                  <c:v>44076516.75</c:v>
                </c:pt>
                <c:pt idx="11">
                  <c:v>45431026.649999999</c:v>
                </c:pt>
              </c:numCache>
            </c:numRef>
          </c:val>
          <c:smooth val="0"/>
          <c:extLst>
            <c:ext xmlns:c16="http://schemas.microsoft.com/office/drawing/2014/chart" uri="{C3380CC4-5D6E-409C-BE32-E72D297353CC}">
              <c16:uniqueId val="{00000001-5D37-4B68-A5DC-32AE3A09F2A2}"/>
            </c:ext>
          </c:extLst>
        </c:ser>
        <c:ser>
          <c:idx val="1"/>
          <c:order val="1"/>
          <c:tx>
            <c:strRef>
              <c:f>Sheet1!$C$27</c:f>
              <c:strCache>
                <c:ptCount val="1"/>
                <c:pt idx="0">
                  <c:v>Profit</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Sheet1!$A$28:$A$40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Sheet1!$C$28:$C$40</c:f>
              <c:numCache>
                <c:formatCode>"$"#,##0</c:formatCode>
                <c:ptCount val="12"/>
                <c:pt idx="0">
                  <c:v>6360248.3200000003</c:v>
                </c:pt>
                <c:pt idx="1">
                  <c:v>5911879.8399999999</c:v>
                </c:pt>
                <c:pt idx="2">
                  <c:v>6769559</c:v>
                </c:pt>
                <c:pt idx="3">
                  <c:v>6392144.0800000001</c:v>
                </c:pt>
                <c:pt idx="4">
                  <c:v>7672315.2199999997</c:v>
                </c:pt>
                <c:pt idx="5">
                  <c:v>6445738.2699999996</c:v>
                </c:pt>
                <c:pt idx="6">
                  <c:v>6926330.2599999998</c:v>
                </c:pt>
                <c:pt idx="7">
                  <c:v>6861738.3200000003</c:v>
                </c:pt>
                <c:pt idx="8">
                  <c:v>5970281.4000000004</c:v>
                </c:pt>
                <c:pt idx="9">
                  <c:v>6878707.0300000003</c:v>
                </c:pt>
                <c:pt idx="10">
                  <c:v>6674732.3300000001</c:v>
                </c:pt>
                <c:pt idx="11">
                  <c:v>6845060.8399999999</c:v>
                </c:pt>
              </c:numCache>
            </c:numRef>
          </c:val>
          <c:smooth val="0"/>
          <c:extLst>
            <c:ext xmlns:c16="http://schemas.microsoft.com/office/drawing/2014/chart" uri="{C3380CC4-5D6E-409C-BE32-E72D297353CC}">
              <c16:uniqueId val="{00000000-13FD-416C-9DEC-B9E6C66179A1}"/>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536303759"/>
        <c:axId val="1536305199"/>
      </c:lineChart>
      <c:catAx>
        <c:axId val="153630375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36305199"/>
        <c:crosses val="autoZero"/>
        <c:auto val="1"/>
        <c:lblAlgn val="ctr"/>
        <c:lblOffset val="100"/>
        <c:noMultiLvlLbl val="0"/>
      </c:catAx>
      <c:valAx>
        <c:axId val="1536305199"/>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36303759"/>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b="1"/>
              <a:t>Is</a:t>
            </a:r>
            <a:r>
              <a:rPr lang="en-US" b="1" baseline="0"/>
              <a:t> there a relationship between discount and sales revenue?</a:t>
            </a:r>
            <a:endParaRPr lang="en-US" b="1"/>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strRef>
              <c:f>'correlation.csv2'!$C$1</c:f>
              <c:strCache>
                <c:ptCount val="1"/>
                <c:pt idx="0">
                  <c:v> sales_ </c:v>
                </c:pt>
              </c:strCache>
            </c:strRef>
          </c:tx>
          <c:spPr>
            <a:ln w="25400" cap="flat" cmpd="sng" algn="ctr">
              <a:noFill/>
              <a:prstDash val="sysDot"/>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s>
            <c:dLbl>
              <c:idx val="0"/>
              <c:layout>
                <c:manualLayout>
                  <c:x val="-0.125"/>
                  <c:y val="2.3148148148148147E-2"/>
                </c:manualLayout>
              </c:layout>
              <c:tx>
                <c:rich>
                  <a:bodyPr/>
                  <a:lstStyle/>
                  <a:p>
                    <a:fld id="{9ED951AA-007B-4E02-A321-C33A9BE5D5F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AAC4-4DEC-BFAE-9462739E80BF}"/>
                </c:ext>
              </c:extLst>
            </c:dLbl>
            <c:dLbl>
              <c:idx val="1"/>
              <c:layout>
                <c:manualLayout>
                  <c:x val="-5.5555555555555558E-3"/>
                  <c:y val="6.481481481481477E-2"/>
                </c:manualLayout>
              </c:layout>
              <c:tx>
                <c:rich>
                  <a:bodyPr/>
                  <a:lstStyle/>
                  <a:p>
                    <a:fld id="{C63E0F9D-9BD0-4C9F-8733-F74FC998A86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AC4-4DEC-BFAE-9462739E80BF}"/>
                </c:ext>
              </c:extLst>
            </c:dLbl>
            <c:dLbl>
              <c:idx val="2"/>
              <c:layout>
                <c:manualLayout>
                  <c:x val="-7.5000000000000053E-2"/>
                  <c:y val="-8.333333333333337E-2"/>
                </c:manualLayout>
              </c:layout>
              <c:tx>
                <c:rich>
                  <a:bodyPr/>
                  <a:lstStyle/>
                  <a:p>
                    <a:fld id="{1111A0A7-1D47-459D-9DAE-B9DDBD8B914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AAC4-4DEC-BFAE-9462739E80BF}"/>
                </c:ext>
              </c:extLst>
            </c:dLbl>
            <c:dLbl>
              <c:idx val="3"/>
              <c:layout>
                <c:manualLayout>
                  <c:x val="-6.1111111111111109E-2"/>
                  <c:y val="-0.12962962962962962"/>
                </c:manualLayout>
              </c:layout>
              <c:tx>
                <c:rich>
                  <a:bodyPr/>
                  <a:lstStyle/>
                  <a:p>
                    <a:fld id="{64C7A223-A03D-4358-A6B5-33CFD2E9850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AC4-4DEC-BFAE-9462739E80BF}"/>
                </c:ext>
              </c:extLst>
            </c:dLbl>
            <c:dLbl>
              <c:idx val="4"/>
              <c:layout>
                <c:manualLayout>
                  <c:x val="-3.3333333333333381E-2"/>
                  <c:y val="-0.10648148148148148"/>
                </c:manualLayout>
              </c:layout>
              <c:tx>
                <c:rich>
                  <a:bodyPr/>
                  <a:lstStyle/>
                  <a:p>
                    <a:fld id="{2A15EA19-DA7E-44C4-9941-17D0C987D38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AAC4-4DEC-BFAE-9462739E80BF}"/>
                </c:ext>
              </c:extLst>
            </c:dLbl>
            <c:dLbl>
              <c:idx val="5"/>
              <c:layout>
                <c:manualLayout>
                  <c:x val="8.3333333333333329E-2"/>
                  <c:y val="-5.5555555555555552E-2"/>
                </c:manualLayout>
              </c:layout>
              <c:tx>
                <c:rich>
                  <a:bodyPr/>
                  <a:lstStyle/>
                  <a:p>
                    <a:fld id="{D0A18D30-C527-4C2B-BDE3-19BE59DB767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AAC4-4DEC-BFAE-9462739E80BF}"/>
                </c:ext>
              </c:extLst>
            </c:dLbl>
            <c:dLbl>
              <c:idx val="6"/>
              <c:layout>
                <c:manualLayout>
                  <c:x val="2.7777777777777779E-3"/>
                  <c:y val="9.7222222222222224E-2"/>
                </c:manualLayout>
              </c:layout>
              <c:tx>
                <c:rich>
                  <a:bodyPr/>
                  <a:lstStyle/>
                  <a:p>
                    <a:fld id="{853BFD9D-ED32-4284-89C2-D92A78D6143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AC4-4DEC-BFAE-9462739E80BF}"/>
                </c:ext>
              </c:extLst>
            </c:dLbl>
            <c:dLbl>
              <c:idx val="7"/>
              <c:layout>
                <c:manualLayout>
                  <c:x val="6.9444444444444448E-2"/>
                  <c:y val="8.7962962962962965E-2"/>
                </c:manualLayout>
              </c:layout>
              <c:tx>
                <c:rich>
                  <a:bodyPr/>
                  <a:lstStyle/>
                  <a:p>
                    <a:fld id="{DF676645-9CD7-4855-808F-C2AFC95BF9A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AAC4-4DEC-BFAE-9462739E80BF}"/>
                </c:ext>
              </c:extLst>
            </c:dLbl>
            <c:dLbl>
              <c:idx val="8"/>
              <c:layout>
                <c:manualLayout>
                  <c:x val="0"/>
                  <c:y val="0.11111111111111102"/>
                </c:manualLayout>
              </c:layout>
              <c:tx>
                <c:rich>
                  <a:bodyPr/>
                  <a:lstStyle/>
                  <a:p>
                    <a:fld id="{97BD462C-CAA7-408C-9934-4C1EC625517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AAC4-4DEC-BFAE-9462739E80BF}"/>
                </c:ext>
              </c:extLst>
            </c:dLbl>
            <c:dLbl>
              <c:idx val="9"/>
              <c:layout>
                <c:manualLayout>
                  <c:x val="-0.15555555555555567"/>
                  <c:y val="7.8703703703703706E-2"/>
                </c:manualLayout>
              </c:layout>
              <c:tx>
                <c:rich>
                  <a:bodyPr/>
                  <a:lstStyle/>
                  <a:p>
                    <a:fld id="{EC118BBE-EC72-4AC5-9B03-6C2C761E354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AAC4-4DEC-BFAE-9462739E80BF}"/>
                </c:ext>
              </c:extLst>
            </c:dLbl>
            <c:spPr>
              <a:solidFill>
                <a:schemeClr val="lt1"/>
              </a:solidFill>
              <a:ln>
                <a:solidFill>
                  <a:schemeClr val="dk1">
                    <a:lumMod val="25000"/>
                    <a:lumOff val="75000"/>
                  </a:scheme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DataLabelsRange val="1"/>
                <c15:showLeaderLines val="1"/>
                <c15:leaderLines>
                  <c:spPr>
                    <a:ln w="9525" cap="rnd">
                      <a:solidFill>
                        <a:schemeClr val="dk1">
                          <a:lumMod val="35000"/>
                          <a:lumOff val="65000"/>
                        </a:schemeClr>
                      </a:solidFill>
                      <a:round/>
                    </a:ln>
                    <a:effectLst/>
                  </c:spPr>
                </c15:leaderLines>
              </c:ext>
            </c:extLst>
          </c:dLbls>
          <c:trendline>
            <c:spPr>
              <a:ln w="9525" cap="rnd">
                <a:solidFill>
                  <a:schemeClr val="accent1"/>
                </a:solidFill>
              </a:ln>
              <a:effectLst/>
            </c:spPr>
            <c:trendlineType val="linear"/>
            <c:dispRSqr val="0"/>
            <c:dispEq val="0"/>
          </c:trendline>
          <c:trendline>
            <c:spPr>
              <a:ln w="9525" cap="rnd">
                <a:solidFill>
                  <a:schemeClr val="accent1"/>
                </a:solidFill>
              </a:ln>
              <a:effectLst/>
            </c:spPr>
            <c:trendlineType val="linear"/>
            <c:dispRSqr val="0"/>
            <c:dispEq val="0"/>
          </c:trendline>
          <c:trendline>
            <c:spPr>
              <a:ln w="9525" cap="rnd">
                <a:solidFill>
                  <a:schemeClr val="accent1"/>
                </a:solidFill>
              </a:ln>
              <a:effectLst/>
            </c:spPr>
            <c:trendlineType val="linear"/>
            <c:forward val="2"/>
            <c:dispRSqr val="0"/>
            <c:dispEq val="0"/>
          </c:trendline>
          <c:trendline>
            <c:spPr>
              <a:ln w="9525" cap="rnd">
                <a:solidFill>
                  <a:schemeClr val="accent1"/>
                </a:solidFill>
              </a:ln>
              <a:effectLst/>
            </c:spPr>
            <c:trendlineType val="linear"/>
            <c:dispRSqr val="0"/>
            <c:dispEq val="0"/>
          </c:trendline>
          <c:trendline>
            <c:spPr>
              <a:ln w="9525" cap="rnd">
                <a:solidFill>
                  <a:schemeClr val="accent1"/>
                </a:solidFill>
              </a:ln>
              <a:effectLst/>
            </c:spPr>
            <c:trendlineType val="linear"/>
            <c:dispRSqr val="0"/>
            <c:dispEq val="0"/>
          </c:trendline>
          <c:xVal>
            <c:numRef>
              <c:f>'correlation.csv2'!$B$2:$B$11</c:f>
              <c:numCache>
                <c:formatCode>General</c:formatCode>
                <c:ptCount val="10"/>
                <c:pt idx="0">
                  <c:v>1225</c:v>
                </c:pt>
                <c:pt idx="1">
                  <c:v>1230</c:v>
                </c:pt>
                <c:pt idx="2">
                  <c:v>1025</c:v>
                </c:pt>
                <c:pt idx="3">
                  <c:v>1115</c:v>
                </c:pt>
                <c:pt idx="4">
                  <c:v>920</c:v>
                </c:pt>
                <c:pt idx="5">
                  <c:v>1155</c:v>
                </c:pt>
                <c:pt idx="6">
                  <c:v>1155</c:v>
                </c:pt>
                <c:pt idx="7">
                  <c:v>1185</c:v>
                </c:pt>
                <c:pt idx="8">
                  <c:v>935</c:v>
                </c:pt>
                <c:pt idx="9">
                  <c:v>1150</c:v>
                </c:pt>
              </c:numCache>
            </c:numRef>
          </c:xVal>
          <c:yVal>
            <c:numRef>
              <c:f>'correlation.csv2'!$C$2:$C$11</c:f>
              <c:numCache>
                <c:formatCode>_("$"* #,##0_);_("$"* \(#,##0\);_("$"* "-"??_);_(@_)</c:formatCode>
                <c:ptCount val="10"/>
                <c:pt idx="0">
                  <c:v>15185544.25</c:v>
                </c:pt>
                <c:pt idx="1">
                  <c:v>14767580.199999999</c:v>
                </c:pt>
                <c:pt idx="2">
                  <c:v>12934015.25</c:v>
                </c:pt>
                <c:pt idx="3">
                  <c:v>12646602.9</c:v>
                </c:pt>
                <c:pt idx="4">
                  <c:v>12376112.800000001</c:v>
                </c:pt>
                <c:pt idx="5">
                  <c:v>12219033.75</c:v>
                </c:pt>
                <c:pt idx="6">
                  <c:v>12211588.6</c:v>
                </c:pt>
                <c:pt idx="7">
                  <c:v>12194033.75</c:v>
                </c:pt>
                <c:pt idx="8">
                  <c:v>12058508.6</c:v>
                </c:pt>
                <c:pt idx="9">
                  <c:v>11779009.1</c:v>
                </c:pt>
              </c:numCache>
            </c:numRef>
          </c:yVal>
          <c:smooth val="0"/>
          <c:extLst>
            <c:ext xmlns:c15="http://schemas.microsoft.com/office/drawing/2012/chart" uri="{02D57815-91ED-43cb-92C2-25804820EDAC}">
              <c15:datalabelsRange>
                <c15:f>'correlation.csv2'!$A$2:$A$11</c15:f>
                <c15:dlblRangeCache>
                  <c:ptCount val="10"/>
                  <c:pt idx="0">
                    <c:v>Sofa</c:v>
                  </c:pt>
                  <c:pt idx="1">
                    <c:v>Lamp</c:v>
                  </c:pt>
                  <c:pt idx="2">
                    <c:v>Tennis Racket</c:v>
                  </c:pt>
                  <c:pt idx="3">
                    <c:v>Women's Wear</c:v>
                  </c:pt>
                  <c:pt idx="4">
                    <c:v>Fiction</c:v>
                  </c:pt>
                  <c:pt idx="5">
                    <c:v>Non-Fiction</c:v>
                  </c:pt>
                  <c:pt idx="6">
                    <c:v>Bed</c:v>
                  </c:pt>
                  <c:pt idx="7">
                    <c:v>Juicer</c:v>
                  </c:pt>
                  <c:pt idx="8">
                    <c:v>Headphones</c:v>
                  </c:pt>
                  <c:pt idx="9">
                    <c:v>Football</c:v>
                  </c:pt>
                </c15:dlblRangeCache>
              </c15:datalabelsRange>
            </c:ext>
            <c:ext xmlns:c16="http://schemas.microsoft.com/office/drawing/2014/chart" uri="{C3380CC4-5D6E-409C-BE32-E72D297353CC}">
              <c16:uniqueId val="{0000000F-AAC4-4DEC-BFAE-9462739E80BF}"/>
            </c:ext>
          </c:extLst>
        </c:ser>
        <c:dLbls>
          <c:showLegendKey val="0"/>
          <c:showVal val="0"/>
          <c:showCatName val="0"/>
          <c:showSerName val="0"/>
          <c:showPercent val="0"/>
          <c:showBubbleSize val="0"/>
        </c:dLbls>
        <c:axId val="1429191583"/>
        <c:axId val="1429194463"/>
      </c:scatterChart>
      <c:valAx>
        <c:axId val="1429191583"/>
        <c:scaling>
          <c:orientation val="minMax"/>
          <c:max val="1300"/>
          <c:min val="860"/>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1429194463"/>
        <c:crosses val="autoZero"/>
        <c:crossBetween val="midCat"/>
        <c:majorUnit val="200"/>
      </c:valAx>
      <c:valAx>
        <c:axId val="1429194463"/>
        <c:scaling>
          <c:orientation val="minMax"/>
          <c:min val="9000000"/>
        </c:scaling>
        <c:delete val="0"/>
        <c:axPos val="l"/>
        <c:majorGridlines>
          <c:spPr>
            <a:ln w="9525" cap="flat" cmpd="sng" algn="ctr">
              <a:solidFill>
                <a:schemeClr val="dk1">
                  <a:lumMod val="15000"/>
                  <a:lumOff val="85000"/>
                </a:schemeClr>
              </a:solidFill>
              <a:round/>
            </a:ln>
            <a:effectLst/>
          </c:spPr>
        </c:majorGridlines>
        <c:numFmt formatCode="&quot;$&quot;#,###" sourceLinked="0"/>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1429191583"/>
        <c:crosses val="autoZero"/>
        <c:crossBetween val="midCat"/>
      </c:valAx>
      <c:spPr>
        <a:gradFill>
          <a:gsLst>
            <a:gs pos="100000">
              <a:schemeClr val="lt1">
                <a:lumMod val="95000"/>
              </a:schemeClr>
            </a:gs>
            <a:gs pos="0">
              <a:schemeClr val="lt1">
                <a:alpha val="0"/>
              </a:schemeClr>
            </a:gs>
          </a:gsLst>
          <a:lin ang="5400000" scaled="0"/>
        </a:grad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8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46">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effectRef idx="1"/>
    <cs:fontRef idx="minor">
      <a:schemeClr val="dk1"/>
    </cs:fontRef>
    <cs:spPr>
      <a:ln w="9525" cap="flat" cmpd="sng" algn="ctr">
        <a:solidFill>
          <a:schemeClr val="phClr">
            <a:alpha val="70000"/>
          </a:schemeClr>
        </a:solidFill>
        <a:prstDash val="sysDot"/>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rnd">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rnd">
        <a:solidFill>
          <a:schemeClr val="dk1">
            <a:lumMod val="65000"/>
            <a:lumOff val="35000"/>
          </a:schemeClr>
        </a:solidFill>
        <a:round/>
      </a:ln>
    </cs:spPr>
  </cs:downBar>
  <cs:dropLine>
    <cs:lnRef idx="0"/>
    <cs:fillRef idx="0"/>
    <cs:effectRef idx="0"/>
    <cs:fontRef idx="minor">
      <a:schemeClr val="dk1"/>
    </cs:fontRef>
    <cs:spPr>
      <a:ln w="9525" cap="rnd">
        <a:solidFill>
          <a:schemeClr val="dk1">
            <a:lumMod val="35000"/>
            <a:lumOff val="65000"/>
          </a:schemeClr>
        </a:solidFill>
        <a:round/>
      </a:ln>
    </cs:spPr>
  </cs:dropLine>
  <cs:errorBar>
    <cs:lnRef idx="0"/>
    <cs:fillRef idx="0"/>
    <cs:effectRef idx="0"/>
    <cs:fontRef idx="minor">
      <a:schemeClr val="dk1"/>
    </cs:fontRef>
    <cs:spPr>
      <a:ln w="9525" cap="rnd">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rnd">
        <a:solidFill>
          <a:schemeClr val="dk1">
            <a:lumMod val="35000"/>
            <a:lumOff val="65000"/>
          </a:schemeClr>
        </a:solidFill>
        <a:round/>
      </a:ln>
    </cs:spPr>
  </cs:hiLoLine>
  <cs:leaderLine>
    <cs:lnRef idx="0"/>
    <cs:fillRef idx="0"/>
    <cs:effectRef idx="0"/>
    <cs:fontRef idx="minor">
      <a:schemeClr val="dk1"/>
    </cs:fontRef>
    <cs:spPr>
      <a:ln w="9525" cap="rnd">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spc="0" baseline="0"/>
  </cs:legend>
  <cs:plotArea>
    <cs:lnRef idx="0"/>
    <cs:fillRef idx="0"/>
    <cs:effectRef idx="0"/>
    <cs:fontRef idx="minor">
      <a:schemeClr val="dk1"/>
    </cs:fontRef>
    <cs:spPr>
      <a:gradFill>
        <a:gsLst>
          <a:gs pos="100000">
            <a:schemeClr val="lt1">
              <a:lumMod val="95000"/>
            </a:schemeClr>
          </a:gs>
          <a:gs pos="0">
            <a:schemeClr val="lt1">
              <a:alpha val="0"/>
            </a:schemeClr>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seriesAxis>
  <cs:seriesLine>
    <cs:lnRef idx="0"/>
    <cs:fillRef idx="0"/>
    <cs:effectRef idx="0"/>
    <cs:fontRef idx="minor">
      <a:schemeClr val="dk1"/>
    </cs:fontRef>
    <cs:spPr>
      <a:ln w="9525" cap="rnd">
        <a:solidFill>
          <a:schemeClr val="dk1">
            <a:lumMod val="35000"/>
            <a:lumOff val="65000"/>
          </a:schemeClr>
        </a:solidFill>
        <a:round/>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spPr>
      <a:ln w="9525" cap="rnd">
        <a:solidFill>
          <a:schemeClr val="dk1">
            <a:lumMod val="25000"/>
            <a:lumOff val="75000"/>
          </a:schemeClr>
        </a:solidFill>
        <a:round/>
      </a:ln>
    </cs:spPr>
    <cs:defRPr sz="900" kern="1200" spc="0" baseline="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473413</xdr:colOff>
      <xdr:row>8</xdr:row>
      <xdr:rowOff>19049</xdr:rowOff>
    </xdr:from>
    <xdr:to>
      <xdr:col>12</xdr:col>
      <xdr:colOff>473413</xdr:colOff>
      <xdr:row>15</xdr:row>
      <xdr:rowOff>76200</xdr:rowOff>
    </xdr:to>
    <mc:AlternateContent xmlns:mc="http://schemas.openxmlformats.org/markup-compatibility/2006" xmlns:a14="http://schemas.microsoft.com/office/drawing/2010/main">
      <mc:Choice Requires="a14">
        <xdr:graphicFrame macro="">
          <xdr:nvGraphicFramePr>
            <xdr:cNvPr id="2" name="Order Date (Year)">
              <a:extLst>
                <a:ext uri="{FF2B5EF4-FFF2-40B4-BE49-F238E27FC236}">
                  <a16:creationId xmlns:a16="http://schemas.microsoft.com/office/drawing/2014/main" id="{8F3F8DBD-747B-7BCB-04D7-6549D33F525C}"/>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7647562" y="1478198"/>
              <a:ext cx="1823936" cy="13339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598656</xdr:colOff>
      <xdr:row>1</xdr:row>
      <xdr:rowOff>67822</xdr:rowOff>
    </xdr:from>
    <xdr:to>
      <xdr:col>9</xdr:col>
      <xdr:colOff>598657</xdr:colOff>
      <xdr:row>9</xdr:row>
      <xdr:rowOff>74172</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03B59FDF-F027-021C-3EE0-2DA796BBB21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948869" y="250216"/>
              <a:ext cx="1823937" cy="1465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507460</xdr:colOff>
      <xdr:row>10</xdr:row>
      <xdr:rowOff>82145</xdr:rowOff>
    </xdr:from>
    <xdr:to>
      <xdr:col>9</xdr:col>
      <xdr:colOff>507461</xdr:colOff>
      <xdr:row>15</xdr:row>
      <xdr:rowOff>50395</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545242A7-5F29-E425-CAE0-12A8D8189B4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857673" y="1906081"/>
              <a:ext cx="1823937" cy="8802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393700</xdr:colOff>
      <xdr:row>20</xdr:row>
      <xdr:rowOff>12700</xdr:rowOff>
    </xdr:from>
    <xdr:to>
      <xdr:col>12</xdr:col>
      <xdr:colOff>393700</xdr:colOff>
      <xdr:row>26</xdr:row>
      <xdr:rowOff>107950</xdr:rowOff>
    </xdr:to>
    <mc:AlternateContent xmlns:mc="http://schemas.openxmlformats.org/markup-compatibility/2006" xmlns:a14="http://schemas.microsoft.com/office/drawing/2010/main">
      <mc:Choice Requires="a14">
        <xdr:graphicFrame macro="">
          <xdr:nvGraphicFramePr>
            <xdr:cNvPr id="5" name="Payment Mode">
              <a:extLst>
                <a:ext uri="{FF2B5EF4-FFF2-40B4-BE49-F238E27FC236}">
                  <a16:creationId xmlns:a16="http://schemas.microsoft.com/office/drawing/2014/main" id="{B17FC627-B83C-18B7-BD96-E53AF0484891}"/>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7750243" y="3660572"/>
              <a:ext cx="1823936" cy="11896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37035</xdr:colOff>
      <xdr:row>14</xdr:row>
      <xdr:rowOff>91143</xdr:rowOff>
    </xdr:from>
    <xdr:to>
      <xdr:col>15</xdr:col>
      <xdr:colOff>354535</xdr:colOff>
      <xdr:row>29</xdr:row>
      <xdr:rowOff>112914</xdr:rowOff>
    </xdr:to>
    <xdr:graphicFrame macro="">
      <xdr:nvGraphicFramePr>
        <xdr:cNvPr id="12" name="Chart 5">
          <a:extLst>
            <a:ext uri="{FF2B5EF4-FFF2-40B4-BE49-F238E27FC236}">
              <a16:creationId xmlns:a16="http://schemas.microsoft.com/office/drawing/2014/main" id="{915B3965-8838-FCD0-4AE8-9127E5D782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23811</xdr:colOff>
      <xdr:row>8</xdr:row>
      <xdr:rowOff>15874</xdr:rowOff>
    </xdr:from>
    <xdr:to>
      <xdr:col>8</xdr:col>
      <xdr:colOff>23812</xdr:colOff>
      <xdr:row>14</xdr:row>
      <xdr:rowOff>117474</xdr:rowOff>
    </xdr:to>
    <mc:AlternateContent xmlns:mc="http://schemas.openxmlformats.org/markup-compatibility/2006" xmlns:a14="http://schemas.microsoft.com/office/drawing/2010/main">
      <mc:Choice Requires="a14">
        <xdr:graphicFrame macro="">
          <xdr:nvGraphicFramePr>
            <xdr:cNvPr id="2" name="Order Date (Year) 1">
              <a:extLst>
                <a:ext uri="{FF2B5EF4-FFF2-40B4-BE49-F238E27FC236}">
                  <a16:creationId xmlns:a16="http://schemas.microsoft.com/office/drawing/2014/main" id="{9C98FF04-B344-42EC-88C8-78CD513F69C9}"/>
                </a:ext>
              </a:extLst>
            </xdr:cNvPr>
            <xdr:cNvGraphicFramePr/>
          </xdr:nvGraphicFramePr>
          <xdr:xfrm>
            <a:off x="0" y="0"/>
            <a:ext cx="0" cy="0"/>
          </xdr:xfrm>
          <a:graphic>
            <a:graphicData uri="http://schemas.microsoft.com/office/drawing/2010/slicer">
              <sle:slicer xmlns:sle="http://schemas.microsoft.com/office/drawing/2010/slicer" name="Order Date (Year) 1"/>
            </a:graphicData>
          </a:graphic>
        </xdr:graphicFrame>
      </mc:Choice>
      <mc:Fallback xmlns="">
        <xdr:sp macro="" textlink="">
          <xdr:nvSpPr>
            <xdr:cNvPr id="0" name=""/>
            <xdr:cNvSpPr>
              <a:spLocks noTextEdit="1"/>
            </xdr:cNvSpPr>
          </xdr:nvSpPr>
          <xdr:spPr>
            <a:xfrm>
              <a:off x="3062740" y="1476374"/>
              <a:ext cx="1823358" cy="11901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603250</xdr:colOff>
      <xdr:row>8</xdr:row>
      <xdr:rowOff>11114</xdr:rowOff>
    </xdr:from>
    <xdr:to>
      <xdr:col>4</xdr:col>
      <xdr:colOff>603251</xdr:colOff>
      <xdr:row>14</xdr:row>
      <xdr:rowOff>111126</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14D19CB8-DB4C-4A53-9FF2-A233C23900F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11036" y="1471614"/>
              <a:ext cx="1823358" cy="11885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15876</xdr:colOff>
      <xdr:row>8</xdr:row>
      <xdr:rowOff>14286</xdr:rowOff>
    </xdr:from>
    <xdr:to>
      <xdr:col>11</xdr:col>
      <xdr:colOff>15876</xdr:colOff>
      <xdr:row>14</xdr:row>
      <xdr:rowOff>117593</xdr:rowOff>
    </xdr:to>
    <mc:AlternateContent xmlns:mc="http://schemas.openxmlformats.org/markup-compatibility/2006" xmlns:a14="http://schemas.microsoft.com/office/drawing/2010/main">
      <mc:Choice Requires="a14">
        <xdr:graphicFrame macro="">
          <xdr:nvGraphicFramePr>
            <xdr:cNvPr id="4" name="City 1">
              <a:extLst>
                <a:ext uri="{FF2B5EF4-FFF2-40B4-BE49-F238E27FC236}">
                  <a16:creationId xmlns:a16="http://schemas.microsoft.com/office/drawing/2014/main" id="{F82D1B4B-C22B-423B-BD40-F63FB29DCE6D}"/>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4878162" y="1474786"/>
              <a:ext cx="1823357" cy="11838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36513</xdr:colOff>
      <xdr:row>8</xdr:row>
      <xdr:rowOff>15873</xdr:rowOff>
    </xdr:from>
    <xdr:to>
      <xdr:col>14</xdr:col>
      <xdr:colOff>36513</xdr:colOff>
      <xdr:row>14</xdr:row>
      <xdr:rowOff>111123</xdr:rowOff>
    </xdr:to>
    <mc:AlternateContent xmlns:mc="http://schemas.openxmlformats.org/markup-compatibility/2006" xmlns:a14="http://schemas.microsoft.com/office/drawing/2010/main">
      <mc:Choice Requires="a14">
        <xdr:graphicFrame macro="">
          <xdr:nvGraphicFramePr>
            <xdr:cNvPr id="5" name="Payment Mode 1">
              <a:extLst>
                <a:ext uri="{FF2B5EF4-FFF2-40B4-BE49-F238E27FC236}">
                  <a16:creationId xmlns:a16="http://schemas.microsoft.com/office/drawing/2014/main" id="{786790F3-1BBB-4198-9796-146B78DC0902}"/>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6722156" y="1476373"/>
              <a:ext cx="1823357" cy="11838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363861</xdr:colOff>
      <xdr:row>29</xdr:row>
      <xdr:rowOff>121328</xdr:rowOff>
    </xdr:from>
    <xdr:to>
      <xdr:col>8</xdr:col>
      <xdr:colOff>57474</xdr:colOff>
      <xdr:row>44</xdr:row>
      <xdr:rowOff>102278</xdr:rowOff>
    </xdr:to>
    <xdr:graphicFrame macro="">
      <xdr:nvGraphicFramePr>
        <xdr:cNvPr id="6" name="Chart 5">
          <a:extLst>
            <a:ext uri="{FF2B5EF4-FFF2-40B4-BE49-F238E27FC236}">
              <a16:creationId xmlns:a16="http://schemas.microsoft.com/office/drawing/2014/main" id="{8669BEDC-1E60-804A-FC0B-9EC566C598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337360</xdr:colOff>
      <xdr:row>14</xdr:row>
      <xdr:rowOff>120100</xdr:rowOff>
    </xdr:from>
    <xdr:to>
      <xdr:col>8</xdr:col>
      <xdr:colOff>30973</xdr:colOff>
      <xdr:row>29</xdr:row>
      <xdr:rowOff>101050</xdr:rowOff>
    </xdr:to>
    <xdr:graphicFrame macro="">
      <xdr:nvGraphicFramePr>
        <xdr:cNvPr id="7" name="Chart 6">
          <a:extLst>
            <a:ext uri="{FF2B5EF4-FFF2-40B4-BE49-F238E27FC236}">
              <a16:creationId xmlns:a16="http://schemas.microsoft.com/office/drawing/2014/main" id="{1D3076BB-3C37-03C0-F292-B86E25857C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66578</xdr:colOff>
      <xdr:row>29</xdr:row>
      <xdr:rowOff>114300</xdr:rowOff>
    </xdr:from>
    <xdr:to>
      <xdr:col>15</xdr:col>
      <xdr:colOff>360265</xdr:colOff>
      <xdr:row>44</xdr:row>
      <xdr:rowOff>119063</xdr:rowOff>
    </xdr:to>
    <xdr:graphicFrame macro="">
      <xdr:nvGraphicFramePr>
        <xdr:cNvPr id="9" name="Chart 9">
          <a:extLst>
            <a:ext uri="{FF2B5EF4-FFF2-40B4-BE49-F238E27FC236}">
              <a16:creationId xmlns:a16="http://schemas.microsoft.com/office/drawing/2014/main" id="{1EF9AC5E-485C-930D-6D35-D463810A90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376238</xdr:colOff>
      <xdr:row>44</xdr:row>
      <xdr:rowOff>110832</xdr:rowOff>
    </xdr:from>
    <xdr:to>
      <xdr:col>8</xdr:col>
      <xdr:colOff>58738</xdr:colOff>
      <xdr:row>59</xdr:row>
      <xdr:rowOff>115594</xdr:rowOff>
    </xdr:to>
    <xdr:graphicFrame macro="">
      <xdr:nvGraphicFramePr>
        <xdr:cNvPr id="10" name="Chart 10">
          <a:extLst>
            <a:ext uri="{FF2B5EF4-FFF2-40B4-BE49-F238E27FC236}">
              <a16:creationId xmlns:a16="http://schemas.microsoft.com/office/drawing/2014/main" id="{2ED8EB7F-94A9-921F-92CA-9F52FAD3EF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58737</xdr:colOff>
      <xdr:row>44</xdr:row>
      <xdr:rowOff>128588</xdr:rowOff>
    </xdr:from>
    <xdr:to>
      <xdr:col>15</xdr:col>
      <xdr:colOff>352424</xdr:colOff>
      <xdr:row>59</xdr:row>
      <xdr:rowOff>133351</xdr:rowOff>
    </xdr:to>
    <xdr:graphicFrame macro="">
      <xdr:nvGraphicFramePr>
        <xdr:cNvPr id="11" name="Chart 1">
          <a:extLst>
            <a:ext uri="{FF2B5EF4-FFF2-40B4-BE49-F238E27FC236}">
              <a16:creationId xmlns:a16="http://schemas.microsoft.com/office/drawing/2014/main" id="{35890730-8B00-234E-0938-003EF9DF6E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e fg" refreshedDate="46292.050019560185" backgroundQuery="1" createdVersion="8" refreshedVersion="8" minRefreshableVersion="3" recordCount="0" supportSubquery="1" supportAdvancedDrill="1" xr:uid="{26EFDAA9-AE1C-422B-940C-F9568999046B}">
  <cacheSource type="external" connectionId="2"/>
  <cacheFields count="3">
    <cacheField name="[Ecommerce_Sales_Data_2024_2025].[Category].[Category]" caption="Category" numFmtId="0" hierarchy="5" level="1">
      <sharedItems count="10">
        <s v="Beauty"/>
        <s v="Books"/>
        <s v="Clothing"/>
        <s v="Electronics"/>
        <s v="Furniture"/>
        <s v="Groceries"/>
        <s v="Home Decor"/>
        <s v="Kitchen"/>
        <s v="Sports"/>
        <s v="Toys"/>
      </sharedItems>
    </cacheField>
    <cacheField name="[Measures].[Sum of Sales]" caption="Sum of Sales" numFmtId="0" hierarchy="20" level="32767"/>
    <cacheField name="[Ecommerce_Sales_Data_2024_2025].[City].[City]" caption="City" numFmtId="0" hierarchy="4" level="1">
      <sharedItems containsSemiMixedTypes="0" containsNonDate="0" containsString="0"/>
    </cacheField>
  </cacheFields>
  <cacheHierarchies count="25">
    <cacheHierarchy uniqueName="[Ecommerce_Sales_Data_2024_2025].[Order ID]" caption="Order ID" attribute="1" defaultMemberUniqueName="[Ecommerce_Sales_Data_2024_2025].[Order ID].[All]" allUniqueName="[Ecommerce_Sales_Data_2024_2025].[Order ID].[All]" dimensionUniqueName="[Ecommerce_Sales_Data_2024_2025]" displayFolder="" count="0" memberValueDatatype="20" unbalanced="0"/>
    <cacheHierarchy uniqueName="[Ecommerce_Sales_Data_2024_2025].[Order Date]" caption="Order Date" attribute="1" time="1" defaultMemberUniqueName="[Ecommerce_Sales_Data_2024_2025].[Order Date].[All]" allUniqueName="[Ecommerce_Sales_Data_2024_2025].[Order Date].[All]" dimensionUniqueName="[Ecommerce_Sales_Data_2024_2025]" displayFolder="" count="0" memberValueDatatype="7" unbalanced="0"/>
    <cacheHierarchy uniqueName="[Ecommerce_Sales_Data_2024_2025].[Customer Name]" caption="Customer Name" attribute="1" defaultMemberUniqueName="[Ecommerce_Sales_Data_2024_2025].[Customer Name].[All]" allUniqueName="[Ecommerce_Sales_Data_2024_2025].[Customer Name].[All]" dimensionUniqueName="[Ecommerce_Sales_Data_2024_2025]" displayFolder="" count="0" memberValueDatatype="130" unbalanced="0"/>
    <cacheHierarchy uniqueName="[Ecommerce_Sales_Data_2024_2025].[Region]" caption="Region" attribute="1" defaultMemberUniqueName="[Ecommerce_Sales_Data_2024_2025].[Region].[All]" allUniqueName="[Ecommerce_Sales_Data_2024_2025].[Region].[All]" dimensionUniqueName="[Ecommerce_Sales_Data_2024_2025]" displayFolder="" count="2" memberValueDatatype="130" unbalanced="0"/>
    <cacheHierarchy uniqueName="[Ecommerce_Sales_Data_2024_2025].[City]" caption="City" attribute="1" defaultMemberUniqueName="[Ecommerce_Sales_Data_2024_2025].[City].[All]" allUniqueName="[Ecommerce_Sales_Data_2024_2025].[City].[All]" dimensionUniqueName="[Ecommerce_Sales_Data_2024_2025]" displayFolder="" count="2" memberValueDatatype="130" unbalanced="0">
      <fieldsUsage count="2">
        <fieldUsage x="-1"/>
        <fieldUsage x="2"/>
      </fieldsUsage>
    </cacheHierarchy>
    <cacheHierarchy uniqueName="[Ecommerce_Sales_Data_2024_2025].[Category]" caption="Category" attribute="1" defaultMemberUniqueName="[Ecommerce_Sales_Data_2024_2025].[Category].[All]" allUniqueName="[Ecommerce_Sales_Data_2024_2025].[Category].[All]" dimensionUniqueName="[Ecommerce_Sales_Data_2024_2025]" displayFolder="" count="2" memberValueDatatype="130" unbalanced="0">
      <fieldsUsage count="2">
        <fieldUsage x="-1"/>
        <fieldUsage x="0"/>
      </fieldsUsage>
    </cacheHierarchy>
    <cacheHierarchy uniqueName="[Ecommerce_Sales_Data_2024_2025].[Sub-Category]" caption="Sub-Category" attribute="1" defaultMemberUniqueName="[Ecommerce_Sales_Data_2024_2025].[Sub-Category].[All]" allUniqueName="[Ecommerce_Sales_Data_2024_2025].[Sub-Category].[All]" dimensionUniqueName="[Ecommerce_Sales_Data_2024_2025]" displayFolder="" count="0" memberValueDatatype="130" unbalanced="0"/>
    <cacheHierarchy uniqueName="[Ecommerce_Sales_Data_2024_2025].[Product Name]" caption="Product Name" attribute="1" defaultMemberUniqueName="[Ecommerce_Sales_Data_2024_2025].[Product Name].[All]" allUniqueName="[Ecommerce_Sales_Data_2024_2025].[Product Name].[All]" dimensionUniqueName="[Ecommerce_Sales_Data_2024_2025]" displayFolder="" count="0" memberValueDatatype="130" unbalanced="0"/>
    <cacheHierarchy uniqueName="[Ecommerce_Sales_Data_2024_2025].[Quantity]" caption="Quantity" attribute="1" defaultMemberUniqueName="[Ecommerce_Sales_Data_2024_2025].[Quantity].[All]" allUniqueName="[Ecommerce_Sales_Data_2024_2025].[Quantity].[All]" dimensionUniqueName="[Ecommerce_Sales_Data_2024_2025]" displayFolder="" count="0" memberValueDatatype="20" unbalanced="0"/>
    <cacheHierarchy uniqueName="[Ecommerce_Sales_Data_2024_2025].[Unit Price]" caption="Unit Price" attribute="1" defaultMemberUniqueName="[Ecommerce_Sales_Data_2024_2025].[Unit Price].[All]" allUniqueName="[Ecommerce_Sales_Data_2024_2025].[Unit Price].[All]" dimensionUniqueName="[Ecommerce_Sales_Data_2024_2025]" displayFolder="" count="0" memberValueDatatype="20" unbalanced="0"/>
    <cacheHierarchy uniqueName="[Ecommerce_Sales_Data_2024_2025].[Discount]" caption="Discount" attribute="1" defaultMemberUniqueName="[Ecommerce_Sales_Data_2024_2025].[Discount].[All]" allUniqueName="[Ecommerce_Sales_Data_2024_2025].[Discount].[All]" dimensionUniqueName="[Ecommerce_Sales_Data_2024_2025]" displayFolder="" count="0" memberValueDatatype="20" unbalanced="0"/>
    <cacheHierarchy uniqueName="[Ecommerce_Sales_Data_2024_2025].[Sales]" caption="Sales" attribute="1" defaultMemberUniqueName="[Ecommerce_Sales_Data_2024_2025].[Sales].[All]" allUniqueName="[Ecommerce_Sales_Data_2024_2025].[Sales].[All]" dimensionUniqueName="[Ecommerce_Sales_Data_2024_2025]" displayFolder="" count="0" memberValueDatatype="5" unbalanced="0"/>
    <cacheHierarchy uniqueName="[Ecommerce_Sales_Data_2024_2025].[Profit]" caption="Profit" attribute="1" defaultMemberUniqueName="[Ecommerce_Sales_Data_2024_2025].[Profit].[All]" allUniqueName="[Ecommerce_Sales_Data_2024_2025].[Profit].[All]" dimensionUniqueName="[Ecommerce_Sales_Data_2024_2025]" displayFolder="" count="0" memberValueDatatype="5" unbalanced="0"/>
    <cacheHierarchy uniqueName="[Ecommerce_Sales_Data_2024_2025].[Payment Mode]" caption="Payment Mode" attribute="1" defaultMemberUniqueName="[Ecommerce_Sales_Data_2024_2025].[Payment Mode].[All]" allUniqueName="[Ecommerce_Sales_Data_2024_2025].[Payment Mode].[All]" dimensionUniqueName="[Ecommerce_Sales_Data_2024_2025]" displayFolder="" count="2" memberValueDatatype="130" unbalanced="0"/>
    <cacheHierarchy uniqueName="[Ecommerce_Sales_Data_2024_2025].[Order Date (Year)]" caption="Order Date (Year)" attribute="1" defaultMemberUniqueName="[Ecommerce_Sales_Data_2024_2025].[Order Date (Year)].[All]" allUniqueName="[Ecommerce_Sales_Data_2024_2025].[Order Date (Year)].[All]" dimensionUniqueName="[Ecommerce_Sales_Data_2024_2025]" displayFolder="" count="2" memberValueDatatype="130" unbalanced="0"/>
    <cacheHierarchy uniqueName="[Ecommerce_Sales_Data_2024_2025].[Order Date (Month)]" caption="Order Date (Month)" attribute="1" defaultMemberUniqueName="[Ecommerce_Sales_Data_2024_2025].[Order Date (Month)].[All]" allUniqueName="[Ecommerce_Sales_Data_2024_2025].[Order Date (Month)].[All]" dimensionUniqueName="[Ecommerce_Sales_Data_2024_2025]" displayFolder="" count="0" memberValueDatatype="130" unbalanced="0"/>
    <cacheHierarchy uniqueName="[Ecommerce_Sales_Data_2024_2025].[Order Date (Month Index)]" caption="Order Date (Month Index)" attribute="1" defaultMemberUniqueName="[Ecommerce_Sales_Data_2024_2025].[Order Date (Month Index)].[All]" allUniqueName="[Ecommerce_Sales_Data_2024_2025].[Order Date (Month Index)].[All]" dimensionUniqueName="[Ecommerce_Sales_Data_2024_2025]" displayFolder="" count="0" memberValueDatatype="20" unbalanced="0" hidden="1"/>
    <cacheHierarchy uniqueName="[Measures].[Profit_margin ]" caption="Profit_margin " measure="1" displayFolder="" measureGroup="Ecommerce_Sales_Data_2024_2025" count="0"/>
    <cacheHierarchy uniqueName="[Measures].[__XL_Count Ecommerce_Sales_Data_2024_2025]" caption="__XL_Count Ecommerce_Sales_Data_2024_2025" measure="1" displayFolder="" measureGroup="Ecommerce_Sales_Data_2024_2025" count="0" hidden="1"/>
    <cacheHierarchy uniqueName="[Measures].[__No measures defined]" caption="__No measures defined" measure="1" displayFolder="" count="0" hidden="1"/>
    <cacheHierarchy uniqueName="[Measures].[Sum of Sales]" caption="Sum of Sales" measure="1" displayFolder="" measureGroup="Ecommerce_Sales_Data_2024_2025"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Ecommerce_Sales_Data_2024_2025"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Ecommerce_Sales_Data_2024_2025" count="0" hidden="1">
      <extLst>
        <ext xmlns:x15="http://schemas.microsoft.com/office/spreadsheetml/2010/11/main" uri="{B97F6D7D-B522-45F9-BDA1-12C45D357490}">
          <x15:cacheHierarchy aggregatedColumn="12"/>
        </ext>
      </extLst>
    </cacheHierarchy>
    <cacheHierarchy uniqueName="[Measures].[Count of Order Date (Month)]" caption="Count of Order Date (Month)" measure="1" displayFolder="" measureGroup="Ecommerce_Sales_Data_2024_2025" count="0" hidden="1">
      <extLst>
        <ext xmlns:x15="http://schemas.microsoft.com/office/spreadsheetml/2010/11/main" uri="{B97F6D7D-B522-45F9-BDA1-12C45D357490}">
          <x15:cacheHierarchy aggregatedColumn="15"/>
        </ext>
      </extLst>
    </cacheHierarchy>
    <cacheHierarchy uniqueName="[Measures].[Count of Payment Mode]" caption="Count of Payment Mode" measure="1" displayFolder="" measureGroup="Ecommerce_Sales_Data_2024_2025" count="0" hidden="1">
      <extLst>
        <ext xmlns:x15="http://schemas.microsoft.com/office/spreadsheetml/2010/11/main" uri="{B97F6D7D-B522-45F9-BDA1-12C45D357490}">
          <x15:cacheHierarchy aggregatedColumn="13"/>
        </ext>
      </extLst>
    </cacheHierarchy>
  </cacheHierarchies>
  <kpis count="0"/>
  <dimensions count="2">
    <dimension name="Ecommerce_Sales_Data_2024_2025" uniqueName="[Ecommerce_Sales_Data_2024_2025]" caption="Ecommerce_Sales_Data_2024_2025"/>
    <dimension measure="1" name="Measures" uniqueName="[Measures]" caption="Measures"/>
  </dimensions>
  <measureGroups count="1">
    <measureGroup name="Ecommerce_Sales_Data_2024_2025" caption="Ecommerce_Sales_Data_2024_2025"/>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e fg" refreshedDate="46292.050019907409" backgroundQuery="1" createdVersion="8" refreshedVersion="8" minRefreshableVersion="3" recordCount="0" supportSubquery="1" supportAdvancedDrill="1" xr:uid="{59031175-C9D2-43CC-B858-21CF9F8EE8EC}">
  <cacheSource type="external" connectionId="2"/>
  <cacheFields count="3">
    <cacheField name="[Ecommerce_Sales_Data_2024_2025].[Category].[Category]" caption="Category" numFmtId="0" hierarchy="5" level="1">
      <sharedItems count="10">
        <s v="Beauty"/>
        <s v="Books"/>
        <s v="Clothing"/>
        <s v="Electronics"/>
        <s v="Furniture"/>
        <s v="Groceries"/>
        <s v="Home Decor"/>
        <s v="Kitchen"/>
        <s v="Sports"/>
        <s v="Toys"/>
      </sharedItems>
    </cacheField>
    <cacheField name="[Measures].[Sum of Profit]" caption="Sum of Profit" numFmtId="0" hierarchy="22" level="32767"/>
    <cacheField name="[Ecommerce_Sales_Data_2024_2025].[City].[City]" caption="City" numFmtId="0" hierarchy="4" level="1">
      <sharedItems containsSemiMixedTypes="0" containsNonDate="0" containsString="0"/>
    </cacheField>
  </cacheFields>
  <cacheHierarchies count="25">
    <cacheHierarchy uniqueName="[Ecommerce_Sales_Data_2024_2025].[Order ID]" caption="Order ID" attribute="1" defaultMemberUniqueName="[Ecommerce_Sales_Data_2024_2025].[Order ID].[All]" allUniqueName="[Ecommerce_Sales_Data_2024_2025].[Order ID].[All]" dimensionUniqueName="[Ecommerce_Sales_Data_2024_2025]" displayFolder="" count="0" memberValueDatatype="20" unbalanced="0"/>
    <cacheHierarchy uniqueName="[Ecommerce_Sales_Data_2024_2025].[Order Date]" caption="Order Date" attribute="1" time="1" defaultMemberUniqueName="[Ecommerce_Sales_Data_2024_2025].[Order Date].[All]" allUniqueName="[Ecommerce_Sales_Data_2024_2025].[Order Date].[All]" dimensionUniqueName="[Ecommerce_Sales_Data_2024_2025]" displayFolder="" count="0" memberValueDatatype="7" unbalanced="0"/>
    <cacheHierarchy uniqueName="[Ecommerce_Sales_Data_2024_2025].[Customer Name]" caption="Customer Name" attribute="1" defaultMemberUniqueName="[Ecommerce_Sales_Data_2024_2025].[Customer Name].[All]" allUniqueName="[Ecommerce_Sales_Data_2024_2025].[Customer Name].[All]" dimensionUniqueName="[Ecommerce_Sales_Data_2024_2025]" displayFolder="" count="0" memberValueDatatype="130" unbalanced="0"/>
    <cacheHierarchy uniqueName="[Ecommerce_Sales_Data_2024_2025].[Region]" caption="Region" attribute="1" defaultMemberUniqueName="[Ecommerce_Sales_Data_2024_2025].[Region].[All]" allUniqueName="[Ecommerce_Sales_Data_2024_2025].[Region].[All]" dimensionUniqueName="[Ecommerce_Sales_Data_2024_2025]" displayFolder="" count="2" memberValueDatatype="130" unbalanced="0"/>
    <cacheHierarchy uniqueName="[Ecommerce_Sales_Data_2024_2025].[City]" caption="City" attribute="1" defaultMemberUniqueName="[Ecommerce_Sales_Data_2024_2025].[City].[All]" allUniqueName="[Ecommerce_Sales_Data_2024_2025].[City].[All]" dimensionUniqueName="[Ecommerce_Sales_Data_2024_2025]" displayFolder="" count="2" memberValueDatatype="130" unbalanced="0">
      <fieldsUsage count="2">
        <fieldUsage x="-1"/>
        <fieldUsage x="2"/>
      </fieldsUsage>
    </cacheHierarchy>
    <cacheHierarchy uniqueName="[Ecommerce_Sales_Data_2024_2025].[Category]" caption="Category" attribute="1" defaultMemberUniqueName="[Ecommerce_Sales_Data_2024_2025].[Category].[All]" allUniqueName="[Ecommerce_Sales_Data_2024_2025].[Category].[All]" dimensionUniqueName="[Ecommerce_Sales_Data_2024_2025]" displayFolder="" count="2" memberValueDatatype="130" unbalanced="0">
      <fieldsUsage count="2">
        <fieldUsage x="-1"/>
        <fieldUsage x="0"/>
      </fieldsUsage>
    </cacheHierarchy>
    <cacheHierarchy uniqueName="[Ecommerce_Sales_Data_2024_2025].[Sub-Category]" caption="Sub-Category" attribute="1" defaultMemberUniqueName="[Ecommerce_Sales_Data_2024_2025].[Sub-Category].[All]" allUniqueName="[Ecommerce_Sales_Data_2024_2025].[Sub-Category].[All]" dimensionUniqueName="[Ecommerce_Sales_Data_2024_2025]" displayFolder="" count="0" memberValueDatatype="130" unbalanced="0"/>
    <cacheHierarchy uniqueName="[Ecommerce_Sales_Data_2024_2025].[Product Name]" caption="Product Name" attribute="1" defaultMemberUniqueName="[Ecommerce_Sales_Data_2024_2025].[Product Name].[All]" allUniqueName="[Ecommerce_Sales_Data_2024_2025].[Product Name].[All]" dimensionUniqueName="[Ecommerce_Sales_Data_2024_2025]" displayFolder="" count="0" memberValueDatatype="130" unbalanced="0"/>
    <cacheHierarchy uniqueName="[Ecommerce_Sales_Data_2024_2025].[Quantity]" caption="Quantity" attribute="1" defaultMemberUniqueName="[Ecommerce_Sales_Data_2024_2025].[Quantity].[All]" allUniqueName="[Ecommerce_Sales_Data_2024_2025].[Quantity].[All]" dimensionUniqueName="[Ecommerce_Sales_Data_2024_2025]" displayFolder="" count="0" memberValueDatatype="20" unbalanced="0"/>
    <cacheHierarchy uniqueName="[Ecommerce_Sales_Data_2024_2025].[Unit Price]" caption="Unit Price" attribute="1" defaultMemberUniqueName="[Ecommerce_Sales_Data_2024_2025].[Unit Price].[All]" allUniqueName="[Ecommerce_Sales_Data_2024_2025].[Unit Price].[All]" dimensionUniqueName="[Ecommerce_Sales_Data_2024_2025]" displayFolder="" count="0" memberValueDatatype="20" unbalanced="0"/>
    <cacheHierarchy uniqueName="[Ecommerce_Sales_Data_2024_2025].[Discount]" caption="Discount" attribute="1" defaultMemberUniqueName="[Ecommerce_Sales_Data_2024_2025].[Discount].[All]" allUniqueName="[Ecommerce_Sales_Data_2024_2025].[Discount].[All]" dimensionUniqueName="[Ecommerce_Sales_Data_2024_2025]" displayFolder="" count="0" memberValueDatatype="20" unbalanced="0"/>
    <cacheHierarchy uniqueName="[Ecommerce_Sales_Data_2024_2025].[Sales]" caption="Sales" attribute="1" defaultMemberUniqueName="[Ecommerce_Sales_Data_2024_2025].[Sales].[All]" allUniqueName="[Ecommerce_Sales_Data_2024_2025].[Sales].[All]" dimensionUniqueName="[Ecommerce_Sales_Data_2024_2025]" displayFolder="" count="0" memberValueDatatype="5" unbalanced="0"/>
    <cacheHierarchy uniqueName="[Ecommerce_Sales_Data_2024_2025].[Profit]" caption="Profit" attribute="1" defaultMemberUniqueName="[Ecommerce_Sales_Data_2024_2025].[Profit].[All]" allUniqueName="[Ecommerce_Sales_Data_2024_2025].[Profit].[All]" dimensionUniqueName="[Ecommerce_Sales_Data_2024_2025]" displayFolder="" count="0" memberValueDatatype="5" unbalanced="0"/>
    <cacheHierarchy uniqueName="[Ecommerce_Sales_Data_2024_2025].[Payment Mode]" caption="Payment Mode" attribute="1" defaultMemberUniqueName="[Ecommerce_Sales_Data_2024_2025].[Payment Mode].[All]" allUniqueName="[Ecommerce_Sales_Data_2024_2025].[Payment Mode].[All]" dimensionUniqueName="[Ecommerce_Sales_Data_2024_2025]" displayFolder="" count="2" memberValueDatatype="130" unbalanced="0"/>
    <cacheHierarchy uniqueName="[Ecommerce_Sales_Data_2024_2025].[Order Date (Year)]" caption="Order Date (Year)" attribute="1" defaultMemberUniqueName="[Ecommerce_Sales_Data_2024_2025].[Order Date (Year)].[All]" allUniqueName="[Ecommerce_Sales_Data_2024_2025].[Order Date (Year)].[All]" dimensionUniqueName="[Ecommerce_Sales_Data_2024_2025]" displayFolder="" count="2" memberValueDatatype="130" unbalanced="0"/>
    <cacheHierarchy uniqueName="[Ecommerce_Sales_Data_2024_2025].[Order Date (Month)]" caption="Order Date (Month)" attribute="1" defaultMemberUniqueName="[Ecommerce_Sales_Data_2024_2025].[Order Date (Month)].[All]" allUniqueName="[Ecommerce_Sales_Data_2024_2025].[Order Date (Month)].[All]" dimensionUniqueName="[Ecommerce_Sales_Data_2024_2025]" displayFolder="" count="0" memberValueDatatype="130" unbalanced="0"/>
    <cacheHierarchy uniqueName="[Ecommerce_Sales_Data_2024_2025].[Order Date (Month Index)]" caption="Order Date (Month Index)" attribute="1" defaultMemberUniqueName="[Ecommerce_Sales_Data_2024_2025].[Order Date (Month Index)].[All]" allUniqueName="[Ecommerce_Sales_Data_2024_2025].[Order Date (Month Index)].[All]" dimensionUniqueName="[Ecommerce_Sales_Data_2024_2025]" displayFolder="" count="0" memberValueDatatype="20" unbalanced="0" hidden="1"/>
    <cacheHierarchy uniqueName="[Measures].[Profit_margin ]" caption="Profit_margin " measure="1" displayFolder="" measureGroup="Ecommerce_Sales_Data_2024_2025" count="0"/>
    <cacheHierarchy uniqueName="[Measures].[__XL_Count Ecommerce_Sales_Data_2024_2025]" caption="__XL_Count Ecommerce_Sales_Data_2024_2025" measure="1" displayFolder="" measureGroup="Ecommerce_Sales_Data_2024_2025" count="0" hidden="1"/>
    <cacheHierarchy uniqueName="[Measures].[__No measures defined]" caption="__No measures defined" measure="1" displayFolder="" count="0" hidden="1"/>
    <cacheHierarchy uniqueName="[Measures].[Sum of Sales]" caption="Sum of Sales" measure="1" displayFolder="" measureGroup="Ecommerce_Sales_Data_2024_2025"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Ecommerce_Sales_Data_2024_2025"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Ecommerce_Sales_Data_2024_2025"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Order Date (Month)]" caption="Count of Order Date (Month)" measure="1" displayFolder="" measureGroup="Ecommerce_Sales_Data_2024_2025" count="0" hidden="1">
      <extLst>
        <ext xmlns:x15="http://schemas.microsoft.com/office/spreadsheetml/2010/11/main" uri="{B97F6D7D-B522-45F9-BDA1-12C45D357490}">
          <x15:cacheHierarchy aggregatedColumn="15"/>
        </ext>
      </extLst>
    </cacheHierarchy>
    <cacheHierarchy uniqueName="[Measures].[Count of Payment Mode]" caption="Count of Payment Mode" measure="1" displayFolder="" measureGroup="Ecommerce_Sales_Data_2024_2025" count="0" hidden="1">
      <extLst>
        <ext xmlns:x15="http://schemas.microsoft.com/office/spreadsheetml/2010/11/main" uri="{B97F6D7D-B522-45F9-BDA1-12C45D357490}">
          <x15:cacheHierarchy aggregatedColumn="13"/>
        </ext>
      </extLst>
    </cacheHierarchy>
  </cacheHierarchies>
  <kpis count="0"/>
  <dimensions count="2">
    <dimension name="Ecommerce_Sales_Data_2024_2025" uniqueName="[Ecommerce_Sales_Data_2024_2025]" caption="Ecommerce_Sales_Data_2024_2025"/>
    <dimension measure="1" name="Measures" uniqueName="[Measures]" caption="Measures"/>
  </dimensions>
  <measureGroups count="1">
    <measureGroup name="Ecommerce_Sales_Data_2024_2025" caption="Ecommerce_Sales_Data_2024_2025"/>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e fg" refreshedDate="46292.050020254632" backgroundQuery="1" createdVersion="8" refreshedVersion="8" minRefreshableVersion="3" recordCount="0" supportSubquery="1" supportAdvancedDrill="1" xr:uid="{B07E3E4C-07AD-45D5-99D3-9FF9BCE3BE04}">
  <cacheSource type="external" connectionId="2"/>
  <cacheFields count="3">
    <cacheField name="[Ecommerce_Sales_Data_2024_2025].[Sub-Category].[Sub-Category]" caption="Sub-Category" numFmtId="0" hierarchy="6" level="1">
      <sharedItems count="10">
        <s v="Bed"/>
        <s v="Fiction"/>
        <s v="Football"/>
        <s v="Headphones"/>
        <s v="Juicer"/>
        <s v="Lamp"/>
        <s v="Non-Fiction"/>
        <s v="Sofa"/>
        <s v="Tennis Racket"/>
        <s v="Women's Wear"/>
      </sharedItems>
    </cacheField>
    <cacheField name="[Measures].[Sum of Sales]" caption="Sum of Sales" numFmtId="0" hierarchy="20" level="32767"/>
    <cacheField name="[Ecommerce_Sales_Data_2024_2025].[City].[City]" caption="City" numFmtId="0" hierarchy="4" level="1">
      <sharedItems containsSemiMixedTypes="0" containsNonDate="0" containsString="0"/>
    </cacheField>
  </cacheFields>
  <cacheHierarchies count="25">
    <cacheHierarchy uniqueName="[Ecommerce_Sales_Data_2024_2025].[Order ID]" caption="Order ID" attribute="1" defaultMemberUniqueName="[Ecommerce_Sales_Data_2024_2025].[Order ID].[All]" allUniqueName="[Ecommerce_Sales_Data_2024_2025].[Order ID].[All]" dimensionUniqueName="[Ecommerce_Sales_Data_2024_2025]" displayFolder="" count="2" memberValueDatatype="20" unbalanced="0"/>
    <cacheHierarchy uniqueName="[Ecommerce_Sales_Data_2024_2025].[Order Date]" caption="Order Date" attribute="1" time="1" defaultMemberUniqueName="[Ecommerce_Sales_Data_2024_2025].[Order Date].[All]" allUniqueName="[Ecommerce_Sales_Data_2024_2025].[Order Date].[All]" dimensionUniqueName="[Ecommerce_Sales_Data_2024_2025]" displayFolder="" count="2" memberValueDatatype="7" unbalanced="0"/>
    <cacheHierarchy uniqueName="[Ecommerce_Sales_Data_2024_2025].[Customer Name]" caption="Customer Name" attribute="1" defaultMemberUniqueName="[Ecommerce_Sales_Data_2024_2025].[Customer Name].[All]" allUniqueName="[Ecommerce_Sales_Data_2024_2025].[Customer Name].[All]" dimensionUniqueName="[Ecommerce_Sales_Data_2024_2025]" displayFolder="" count="2" memberValueDatatype="130" unbalanced="0"/>
    <cacheHierarchy uniqueName="[Ecommerce_Sales_Data_2024_2025].[Region]" caption="Region" attribute="1" defaultMemberUniqueName="[Ecommerce_Sales_Data_2024_2025].[Region].[All]" allUniqueName="[Ecommerce_Sales_Data_2024_2025].[Region].[All]" dimensionUniqueName="[Ecommerce_Sales_Data_2024_2025]" displayFolder="" count="2" memberValueDatatype="130" unbalanced="0"/>
    <cacheHierarchy uniqueName="[Ecommerce_Sales_Data_2024_2025].[City]" caption="City" attribute="1" defaultMemberUniqueName="[Ecommerce_Sales_Data_2024_2025].[City].[All]" allUniqueName="[Ecommerce_Sales_Data_2024_2025].[City].[All]" dimensionUniqueName="[Ecommerce_Sales_Data_2024_2025]" displayFolder="" count="2" memberValueDatatype="130" unbalanced="0">
      <fieldsUsage count="2">
        <fieldUsage x="-1"/>
        <fieldUsage x="2"/>
      </fieldsUsage>
    </cacheHierarchy>
    <cacheHierarchy uniqueName="[Ecommerce_Sales_Data_2024_2025].[Category]" caption="Category" attribute="1" defaultMemberUniqueName="[Ecommerce_Sales_Data_2024_2025].[Category].[All]" allUniqueName="[Ecommerce_Sales_Data_2024_2025].[Category].[All]" dimensionUniqueName="[Ecommerce_Sales_Data_2024_2025]" displayFolder="" count="2" memberValueDatatype="130" unbalanced="0"/>
    <cacheHierarchy uniqueName="[Ecommerce_Sales_Data_2024_2025].[Sub-Category]" caption="Sub-Category" attribute="1" defaultMemberUniqueName="[Ecommerce_Sales_Data_2024_2025].[Sub-Category].[All]" allUniqueName="[Ecommerce_Sales_Data_2024_2025].[Sub-Category].[All]" dimensionUniqueName="[Ecommerce_Sales_Data_2024_2025]" displayFolder="" count="2" memberValueDatatype="130" unbalanced="0">
      <fieldsUsage count="2">
        <fieldUsage x="-1"/>
        <fieldUsage x="0"/>
      </fieldsUsage>
    </cacheHierarchy>
    <cacheHierarchy uniqueName="[Ecommerce_Sales_Data_2024_2025].[Product Name]" caption="Product Name" attribute="1" defaultMemberUniqueName="[Ecommerce_Sales_Data_2024_2025].[Product Name].[All]" allUniqueName="[Ecommerce_Sales_Data_2024_2025].[Product Name].[All]" dimensionUniqueName="[Ecommerce_Sales_Data_2024_2025]" displayFolder="" count="2" memberValueDatatype="130" unbalanced="0"/>
    <cacheHierarchy uniqueName="[Ecommerce_Sales_Data_2024_2025].[Quantity]" caption="Quantity" attribute="1" defaultMemberUniqueName="[Ecommerce_Sales_Data_2024_2025].[Quantity].[All]" allUniqueName="[Ecommerce_Sales_Data_2024_2025].[Quantity].[All]" dimensionUniqueName="[Ecommerce_Sales_Data_2024_2025]" displayFolder="" count="2" memberValueDatatype="20" unbalanced="0"/>
    <cacheHierarchy uniqueName="[Ecommerce_Sales_Data_2024_2025].[Unit Price]" caption="Unit Price" attribute="1" defaultMemberUniqueName="[Ecommerce_Sales_Data_2024_2025].[Unit Price].[All]" allUniqueName="[Ecommerce_Sales_Data_2024_2025].[Unit Price].[All]" dimensionUniqueName="[Ecommerce_Sales_Data_2024_2025]" displayFolder="" count="2" memberValueDatatype="20" unbalanced="0"/>
    <cacheHierarchy uniqueName="[Ecommerce_Sales_Data_2024_2025].[Discount]" caption="Discount" attribute="1" defaultMemberUniqueName="[Ecommerce_Sales_Data_2024_2025].[Discount].[All]" allUniqueName="[Ecommerce_Sales_Data_2024_2025].[Discount].[All]" dimensionUniqueName="[Ecommerce_Sales_Data_2024_2025]" displayFolder="" count="2" memberValueDatatype="20" unbalanced="0"/>
    <cacheHierarchy uniqueName="[Ecommerce_Sales_Data_2024_2025].[Sales]" caption="Sales" attribute="1" defaultMemberUniqueName="[Ecommerce_Sales_Data_2024_2025].[Sales].[All]" allUniqueName="[Ecommerce_Sales_Data_2024_2025].[Sales].[All]" dimensionUniqueName="[Ecommerce_Sales_Data_2024_2025]" displayFolder="" count="2" memberValueDatatype="5" unbalanced="0"/>
    <cacheHierarchy uniqueName="[Ecommerce_Sales_Data_2024_2025].[Profit]" caption="Profit" attribute="1" defaultMemberUniqueName="[Ecommerce_Sales_Data_2024_2025].[Profit].[All]" allUniqueName="[Ecommerce_Sales_Data_2024_2025].[Profit].[All]" dimensionUniqueName="[Ecommerce_Sales_Data_2024_2025]" displayFolder="" count="2" memberValueDatatype="5" unbalanced="0"/>
    <cacheHierarchy uniqueName="[Ecommerce_Sales_Data_2024_2025].[Payment Mode]" caption="Payment Mode" attribute="1" defaultMemberUniqueName="[Ecommerce_Sales_Data_2024_2025].[Payment Mode].[All]" allUniqueName="[Ecommerce_Sales_Data_2024_2025].[Payment Mode].[All]" dimensionUniqueName="[Ecommerce_Sales_Data_2024_2025]" displayFolder="" count="2" memberValueDatatype="130" unbalanced="0"/>
    <cacheHierarchy uniqueName="[Ecommerce_Sales_Data_2024_2025].[Order Date (Year)]" caption="Order Date (Year)" attribute="1" defaultMemberUniqueName="[Ecommerce_Sales_Data_2024_2025].[Order Date (Year)].[All]" allUniqueName="[Ecommerce_Sales_Data_2024_2025].[Order Date (Year)].[All]" dimensionUniqueName="[Ecommerce_Sales_Data_2024_2025]" displayFolder="" count="2" memberValueDatatype="130" unbalanced="0"/>
    <cacheHierarchy uniqueName="[Ecommerce_Sales_Data_2024_2025].[Order Date (Month)]" caption="Order Date (Month)" attribute="1" defaultMemberUniqueName="[Ecommerce_Sales_Data_2024_2025].[Order Date (Month)].[All]" allUniqueName="[Ecommerce_Sales_Data_2024_2025].[Order Date (Month)].[All]" dimensionUniqueName="[Ecommerce_Sales_Data_2024_2025]" displayFolder="" count="2" memberValueDatatype="130" unbalanced="0"/>
    <cacheHierarchy uniqueName="[Ecommerce_Sales_Data_2024_2025].[Order Date (Month Index)]" caption="Order Date (Month Index)" attribute="1" defaultMemberUniqueName="[Ecommerce_Sales_Data_2024_2025].[Order Date (Month Index)].[All]" allUniqueName="[Ecommerce_Sales_Data_2024_2025].[Order Date (Month Index)].[All]" dimensionUniqueName="[Ecommerce_Sales_Data_2024_2025]" displayFolder="" count="2" memberValueDatatype="20" unbalanced="0" hidden="1"/>
    <cacheHierarchy uniqueName="[Measures].[Profit_margin ]" caption="Profit_margin " measure="1" displayFolder="" measureGroup="Ecommerce_Sales_Data_2024_2025" count="0"/>
    <cacheHierarchy uniqueName="[Measures].[__XL_Count Ecommerce_Sales_Data_2024_2025]" caption="__XL_Count Ecommerce_Sales_Data_2024_2025" measure="1" displayFolder="" measureGroup="Ecommerce_Sales_Data_2024_2025" count="0" hidden="1"/>
    <cacheHierarchy uniqueName="[Measures].[__No measures defined]" caption="__No measures defined" measure="1" displayFolder="" count="0" hidden="1"/>
    <cacheHierarchy uniqueName="[Measures].[Sum of Sales]" caption="Sum of Sales" measure="1" displayFolder="" measureGroup="Ecommerce_Sales_Data_2024_2025"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Ecommerce_Sales_Data_2024_2025"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Ecommerce_Sales_Data_2024_2025" count="0" hidden="1">
      <extLst>
        <ext xmlns:x15="http://schemas.microsoft.com/office/spreadsheetml/2010/11/main" uri="{B97F6D7D-B522-45F9-BDA1-12C45D357490}">
          <x15:cacheHierarchy aggregatedColumn="12"/>
        </ext>
      </extLst>
    </cacheHierarchy>
    <cacheHierarchy uniqueName="[Measures].[Count of Order Date (Month)]" caption="Count of Order Date (Month)" measure="1" displayFolder="" measureGroup="Ecommerce_Sales_Data_2024_2025" count="0" hidden="1">
      <extLst>
        <ext xmlns:x15="http://schemas.microsoft.com/office/spreadsheetml/2010/11/main" uri="{B97F6D7D-B522-45F9-BDA1-12C45D357490}">
          <x15:cacheHierarchy aggregatedColumn="15"/>
        </ext>
      </extLst>
    </cacheHierarchy>
    <cacheHierarchy uniqueName="[Measures].[Count of Payment Mode]" caption="Count of Payment Mode" measure="1" displayFolder="" measureGroup="Ecommerce_Sales_Data_2024_2025" count="0" hidden="1">
      <extLst>
        <ext xmlns:x15="http://schemas.microsoft.com/office/spreadsheetml/2010/11/main" uri="{B97F6D7D-B522-45F9-BDA1-12C45D357490}">
          <x15:cacheHierarchy aggregatedColumn="13"/>
        </ext>
      </extLst>
    </cacheHierarchy>
  </cacheHierarchies>
  <kpis count="0"/>
  <dimensions count="2">
    <dimension name="Ecommerce_Sales_Data_2024_2025" uniqueName="[Ecommerce_Sales_Data_2024_2025]" caption="Ecommerce_Sales_Data_2024_2025"/>
    <dimension measure="1" name="Measures" uniqueName="[Measures]" caption="Measures"/>
  </dimensions>
  <measureGroups count="1">
    <measureGroup name="Ecommerce_Sales_Data_2024_2025" caption="Ecommerce_Sales_Data_2024_2025"/>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e fg" refreshedDate="46292.050020601855" backgroundQuery="1" createdVersion="8" refreshedVersion="8" minRefreshableVersion="3" recordCount="0" supportSubquery="1" supportAdvancedDrill="1" xr:uid="{D603A8BC-C712-4D37-B4DD-40C2C74F56AA}">
  <cacheSource type="external" connectionId="2"/>
  <cacheFields count="3">
    <cacheField name="[Ecommerce_Sales_Data_2024_2025].[Sub-Category].[Sub-Category]" caption="Sub-Category" numFmtId="0" hierarchy="6" level="1">
      <sharedItems count="10">
        <s v="Action Figure"/>
        <s v="Clock"/>
        <s v="Cricket Bat"/>
        <s v="Kids Wear"/>
        <s v="Mixer Grinder"/>
        <s v="Non-Fiction"/>
        <s v="Shoes"/>
        <s v="Spices"/>
        <s v="Table"/>
        <s v="Wall Art"/>
      </sharedItems>
    </cacheField>
    <cacheField name="[Measures].[Profit_margin ]" caption="Profit_margin " numFmtId="0" hierarchy="17" level="32767"/>
    <cacheField name="[Ecommerce_Sales_Data_2024_2025].[City].[City]" caption="City" numFmtId="0" hierarchy="4" level="1">
      <sharedItems containsSemiMixedTypes="0" containsNonDate="0" containsString="0"/>
    </cacheField>
  </cacheFields>
  <cacheHierarchies count="25">
    <cacheHierarchy uniqueName="[Ecommerce_Sales_Data_2024_2025].[Order ID]" caption="Order ID" attribute="1" defaultMemberUniqueName="[Ecommerce_Sales_Data_2024_2025].[Order ID].[All]" allUniqueName="[Ecommerce_Sales_Data_2024_2025].[Order ID].[All]" dimensionUniqueName="[Ecommerce_Sales_Data_2024_2025]" displayFolder="" count="0" memberValueDatatype="20" unbalanced="0"/>
    <cacheHierarchy uniqueName="[Ecommerce_Sales_Data_2024_2025].[Order Date]" caption="Order Date" attribute="1" time="1" defaultMemberUniqueName="[Ecommerce_Sales_Data_2024_2025].[Order Date].[All]" allUniqueName="[Ecommerce_Sales_Data_2024_2025].[Order Date].[All]" dimensionUniqueName="[Ecommerce_Sales_Data_2024_2025]" displayFolder="" count="0" memberValueDatatype="7" unbalanced="0"/>
    <cacheHierarchy uniqueName="[Ecommerce_Sales_Data_2024_2025].[Customer Name]" caption="Customer Name" attribute="1" defaultMemberUniqueName="[Ecommerce_Sales_Data_2024_2025].[Customer Name].[All]" allUniqueName="[Ecommerce_Sales_Data_2024_2025].[Customer Name].[All]" dimensionUniqueName="[Ecommerce_Sales_Data_2024_2025]" displayFolder="" count="0" memberValueDatatype="130" unbalanced="0"/>
    <cacheHierarchy uniqueName="[Ecommerce_Sales_Data_2024_2025].[Region]" caption="Region" attribute="1" defaultMemberUniqueName="[Ecommerce_Sales_Data_2024_2025].[Region].[All]" allUniqueName="[Ecommerce_Sales_Data_2024_2025].[Region].[All]" dimensionUniqueName="[Ecommerce_Sales_Data_2024_2025]" displayFolder="" count="2" memberValueDatatype="130" unbalanced="0"/>
    <cacheHierarchy uniqueName="[Ecommerce_Sales_Data_2024_2025].[City]" caption="City" attribute="1" defaultMemberUniqueName="[Ecommerce_Sales_Data_2024_2025].[City].[All]" allUniqueName="[Ecommerce_Sales_Data_2024_2025].[City].[All]" dimensionUniqueName="[Ecommerce_Sales_Data_2024_2025]" displayFolder="" count="2" memberValueDatatype="130" unbalanced="0">
      <fieldsUsage count="2">
        <fieldUsage x="-1"/>
        <fieldUsage x="2"/>
      </fieldsUsage>
    </cacheHierarchy>
    <cacheHierarchy uniqueName="[Ecommerce_Sales_Data_2024_2025].[Category]" caption="Category" attribute="1" defaultMemberUniqueName="[Ecommerce_Sales_Data_2024_2025].[Category].[All]" allUniqueName="[Ecommerce_Sales_Data_2024_2025].[Category].[All]" dimensionUniqueName="[Ecommerce_Sales_Data_2024_2025]" displayFolder="" count="0" memberValueDatatype="130" unbalanced="0"/>
    <cacheHierarchy uniqueName="[Ecommerce_Sales_Data_2024_2025].[Sub-Category]" caption="Sub-Category" attribute="1" defaultMemberUniqueName="[Ecommerce_Sales_Data_2024_2025].[Sub-Category].[All]" allUniqueName="[Ecommerce_Sales_Data_2024_2025].[Sub-Category].[All]" dimensionUniqueName="[Ecommerce_Sales_Data_2024_2025]" displayFolder="" count="2" memberValueDatatype="130" unbalanced="0">
      <fieldsUsage count="2">
        <fieldUsage x="-1"/>
        <fieldUsage x="0"/>
      </fieldsUsage>
    </cacheHierarchy>
    <cacheHierarchy uniqueName="[Ecommerce_Sales_Data_2024_2025].[Product Name]" caption="Product Name" attribute="1" defaultMemberUniqueName="[Ecommerce_Sales_Data_2024_2025].[Product Name].[All]" allUniqueName="[Ecommerce_Sales_Data_2024_2025].[Product Name].[All]" dimensionUniqueName="[Ecommerce_Sales_Data_2024_2025]" displayFolder="" count="0" memberValueDatatype="130" unbalanced="0"/>
    <cacheHierarchy uniqueName="[Ecommerce_Sales_Data_2024_2025].[Quantity]" caption="Quantity" attribute="1" defaultMemberUniqueName="[Ecommerce_Sales_Data_2024_2025].[Quantity].[All]" allUniqueName="[Ecommerce_Sales_Data_2024_2025].[Quantity].[All]" dimensionUniqueName="[Ecommerce_Sales_Data_2024_2025]" displayFolder="" count="0" memberValueDatatype="20" unbalanced="0"/>
    <cacheHierarchy uniqueName="[Ecommerce_Sales_Data_2024_2025].[Unit Price]" caption="Unit Price" attribute="1" defaultMemberUniqueName="[Ecommerce_Sales_Data_2024_2025].[Unit Price].[All]" allUniqueName="[Ecommerce_Sales_Data_2024_2025].[Unit Price].[All]" dimensionUniqueName="[Ecommerce_Sales_Data_2024_2025]" displayFolder="" count="0" memberValueDatatype="20" unbalanced="0"/>
    <cacheHierarchy uniqueName="[Ecommerce_Sales_Data_2024_2025].[Discount]" caption="Discount" attribute="1" defaultMemberUniqueName="[Ecommerce_Sales_Data_2024_2025].[Discount].[All]" allUniqueName="[Ecommerce_Sales_Data_2024_2025].[Discount].[All]" dimensionUniqueName="[Ecommerce_Sales_Data_2024_2025]" displayFolder="" count="0" memberValueDatatype="20" unbalanced="0"/>
    <cacheHierarchy uniqueName="[Ecommerce_Sales_Data_2024_2025].[Sales]" caption="Sales" attribute="1" defaultMemberUniqueName="[Ecommerce_Sales_Data_2024_2025].[Sales].[All]" allUniqueName="[Ecommerce_Sales_Data_2024_2025].[Sales].[All]" dimensionUniqueName="[Ecommerce_Sales_Data_2024_2025]" displayFolder="" count="0" memberValueDatatype="5" unbalanced="0"/>
    <cacheHierarchy uniqueName="[Ecommerce_Sales_Data_2024_2025].[Profit]" caption="Profit" attribute="1" defaultMemberUniqueName="[Ecommerce_Sales_Data_2024_2025].[Profit].[All]" allUniqueName="[Ecommerce_Sales_Data_2024_2025].[Profit].[All]" dimensionUniqueName="[Ecommerce_Sales_Data_2024_2025]" displayFolder="" count="0" memberValueDatatype="5" unbalanced="0"/>
    <cacheHierarchy uniqueName="[Ecommerce_Sales_Data_2024_2025].[Payment Mode]" caption="Payment Mode" attribute="1" defaultMemberUniqueName="[Ecommerce_Sales_Data_2024_2025].[Payment Mode].[All]" allUniqueName="[Ecommerce_Sales_Data_2024_2025].[Payment Mode].[All]" dimensionUniqueName="[Ecommerce_Sales_Data_2024_2025]" displayFolder="" count="2" memberValueDatatype="130" unbalanced="0"/>
    <cacheHierarchy uniqueName="[Ecommerce_Sales_Data_2024_2025].[Order Date (Year)]" caption="Order Date (Year)" attribute="1" defaultMemberUniqueName="[Ecommerce_Sales_Data_2024_2025].[Order Date (Year)].[All]" allUniqueName="[Ecommerce_Sales_Data_2024_2025].[Order Date (Year)].[All]" dimensionUniqueName="[Ecommerce_Sales_Data_2024_2025]" displayFolder="" count="2" memberValueDatatype="130" unbalanced="0"/>
    <cacheHierarchy uniqueName="[Ecommerce_Sales_Data_2024_2025].[Order Date (Month)]" caption="Order Date (Month)" attribute="1" defaultMemberUniqueName="[Ecommerce_Sales_Data_2024_2025].[Order Date (Month)].[All]" allUniqueName="[Ecommerce_Sales_Data_2024_2025].[Order Date (Month)].[All]" dimensionUniqueName="[Ecommerce_Sales_Data_2024_2025]" displayFolder="" count="0" memberValueDatatype="130" unbalanced="0"/>
    <cacheHierarchy uniqueName="[Ecommerce_Sales_Data_2024_2025].[Order Date (Month Index)]" caption="Order Date (Month Index)" attribute="1" defaultMemberUniqueName="[Ecommerce_Sales_Data_2024_2025].[Order Date (Month Index)].[All]" allUniqueName="[Ecommerce_Sales_Data_2024_2025].[Order Date (Month Index)].[All]" dimensionUniqueName="[Ecommerce_Sales_Data_2024_2025]" displayFolder="" count="0" memberValueDatatype="20" unbalanced="0" hidden="1"/>
    <cacheHierarchy uniqueName="[Measures].[Profit_margin ]" caption="Profit_margin " measure="1" displayFolder="" measureGroup="Ecommerce_Sales_Data_2024_2025" count="0" oneField="1">
      <fieldsUsage count="1">
        <fieldUsage x="1"/>
      </fieldsUsage>
    </cacheHierarchy>
    <cacheHierarchy uniqueName="[Measures].[__XL_Count Ecommerce_Sales_Data_2024_2025]" caption="__XL_Count Ecommerce_Sales_Data_2024_2025" measure="1" displayFolder="" measureGroup="Ecommerce_Sales_Data_2024_2025" count="0" hidden="1"/>
    <cacheHierarchy uniqueName="[Measures].[__No measures defined]" caption="__No measures defined" measure="1" displayFolder="" count="0" hidden="1"/>
    <cacheHierarchy uniqueName="[Measures].[Sum of Sales]" caption="Sum of Sales" measure="1" displayFolder="" measureGroup="Ecommerce_Sales_Data_2024_2025"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Ecommerce_Sales_Data_2024_2025"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Ecommerce_Sales_Data_2024_2025" count="0" hidden="1">
      <extLst>
        <ext xmlns:x15="http://schemas.microsoft.com/office/spreadsheetml/2010/11/main" uri="{B97F6D7D-B522-45F9-BDA1-12C45D357490}">
          <x15:cacheHierarchy aggregatedColumn="12"/>
        </ext>
      </extLst>
    </cacheHierarchy>
    <cacheHierarchy uniqueName="[Measures].[Count of Order Date (Month)]" caption="Count of Order Date (Month)" measure="1" displayFolder="" measureGroup="Ecommerce_Sales_Data_2024_2025" count="0" hidden="1">
      <extLst>
        <ext xmlns:x15="http://schemas.microsoft.com/office/spreadsheetml/2010/11/main" uri="{B97F6D7D-B522-45F9-BDA1-12C45D357490}">
          <x15:cacheHierarchy aggregatedColumn="15"/>
        </ext>
      </extLst>
    </cacheHierarchy>
    <cacheHierarchy uniqueName="[Measures].[Count of Payment Mode]" caption="Count of Payment Mode" measure="1" displayFolder="" measureGroup="Ecommerce_Sales_Data_2024_2025" count="0" hidden="1">
      <extLst>
        <ext xmlns:x15="http://schemas.microsoft.com/office/spreadsheetml/2010/11/main" uri="{B97F6D7D-B522-45F9-BDA1-12C45D357490}">
          <x15:cacheHierarchy aggregatedColumn="13"/>
        </ext>
      </extLst>
    </cacheHierarchy>
  </cacheHierarchies>
  <kpis count="0"/>
  <dimensions count="2">
    <dimension name="Ecommerce_Sales_Data_2024_2025" uniqueName="[Ecommerce_Sales_Data_2024_2025]" caption="Ecommerce_Sales_Data_2024_2025"/>
    <dimension measure="1" name="Measures" uniqueName="[Measures]" caption="Measures"/>
  </dimensions>
  <measureGroups count="1">
    <measureGroup name="Ecommerce_Sales_Data_2024_2025" caption="Ecommerce_Sales_Data_2024_2025"/>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e fg" refreshedDate="46292.08504189815" backgroundQuery="1" createdVersion="8" refreshedVersion="8" minRefreshableVersion="3" recordCount="0" supportSubquery="1" supportAdvancedDrill="1" xr:uid="{2CCBB57A-1679-4082-8DEB-699F1A7133CE}">
  <cacheSource type="external" connectionId="2"/>
  <cacheFields count="3">
    <cacheField name="[Ecommerce_Sales_Data_2024_2025].[Order Date (Month)].[Order Date (Month)]" caption="Order Date (Month)" numFmtId="0" hierarchy="15" level="1">
      <sharedItems count="12">
        <s v="Jan"/>
        <s v="Feb"/>
        <s v="Mar"/>
        <s v="Apr"/>
        <s v="May"/>
        <s v="Jun"/>
        <s v="Jul"/>
        <s v="Aug"/>
        <s v="Sep"/>
        <s v="Oct"/>
        <s v="Nov"/>
        <s v="Dec"/>
      </sharedItems>
    </cacheField>
    <cacheField name="[Measures].[Sum of Sales]" caption="Sum of Sales" numFmtId="0" hierarchy="20" level="32767"/>
    <cacheField name="[Measures].[Sum of Profit]" caption="Sum of Profit" numFmtId="0" hierarchy="22" level="32767"/>
  </cacheFields>
  <cacheHierarchies count="25">
    <cacheHierarchy uniqueName="[Ecommerce_Sales_Data_2024_2025].[Order ID]" caption="Order ID" attribute="1" defaultMemberUniqueName="[Ecommerce_Sales_Data_2024_2025].[Order ID].[All]" allUniqueName="[Ecommerce_Sales_Data_2024_2025].[Order ID].[All]" dimensionUniqueName="[Ecommerce_Sales_Data_2024_2025]" displayFolder="" count="2" memberValueDatatype="20" unbalanced="0"/>
    <cacheHierarchy uniqueName="[Ecommerce_Sales_Data_2024_2025].[Order Date]" caption="Order Date" attribute="1" time="1" defaultMemberUniqueName="[Ecommerce_Sales_Data_2024_2025].[Order Date].[All]" allUniqueName="[Ecommerce_Sales_Data_2024_2025].[Order Date].[All]" dimensionUniqueName="[Ecommerce_Sales_Data_2024_2025]" displayFolder="" count="2" memberValueDatatype="7" unbalanced="0"/>
    <cacheHierarchy uniqueName="[Ecommerce_Sales_Data_2024_2025].[Customer Name]" caption="Customer Name" attribute="1" defaultMemberUniqueName="[Ecommerce_Sales_Data_2024_2025].[Customer Name].[All]" allUniqueName="[Ecommerce_Sales_Data_2024_2025].[Customer Name].[All]" dimensionUniqueName="[Ecommerce_Sales_Data_2024_2025]" displayFolder="" count="2" memberValueDatatype="130" unbalanced="0"/>
    <cacheHierarchy uniqueName="[Ecommerce_Sales_Data_2024_2025].[Region]" caption="Region" attribute="1" defaultMemberUniqueName="[Ecommerce_Sales_Data_2024_2025].[Region].[All]" allUniqueName="[Ecommerce_Sales_Data_2024_2025].[Region].[All]" dimensionUniqueName="[Ecommerce_Sales_Data_2024_2025]" displayFolder="" count="2" memberValueDatatype="130" unbalanced="0"/>
    <cacheHierarchy uniqueName="[Ecommerce_Sales_Data_2024_2025].[City]" caption="City" attribute="1" defaultMemberUniqueName="[Ecommerce_Sales_Data_2024_2025].[City].[All]" allUniqueName="[Ecommerce_Sales_Data_2024_2025].[City].[All]" dimensionUniqueName="[Ecommerce_Sales_Data_2024_2025]" displayFolder="" count="2" memberValueDatatype="130" unbalanced="0"/>
    <cacheHierarchy uniqueName="[Ecommerce_Sales_Data_2024_2025].[Category]" caption="Category" attribute="1" defaultMemberUniqueName="[Ecommerce_Sales_Data_2024_2025].[Category].[All]" allUniqueName="[Ecommerce_Sales_Data_2024_2025].[Category].[All]" dimensionUniqueName="[Ecommerce_Sales_Data_2024_2025]" displayFolder="" count="2" memberValueDatatype="130" unbalanced="0"/>
    <cacheHierarchy uniqueName="[Ecommerce_Sales_Data_2024_2025].[Sub-Category]" caption="Sub-Category" attribute="1" defaultMemberUniqueName="[Ecommerce_Sales_Data_2024_2025].[Sub-Category].[All]" allUniqueName="[Ecommerce_Sales_Data_2024_2025].[Sub-Category].[All]" dimensionUniqueName="[Ecommerce_Sales_Data_2024_2025]" displayFolder="" count="2" memberValueDatatype="130" unbalanced="0"/>
    <cacheHierarchy uniqueName="[Ecommerce_Sales_Data_2024_2025].[Product Name]" caption="Product Name" attribute="1" defaultMemberUniqueName="[Ecommerce_Sales_Data_2024_2025].[Product Name].[All]" allUniqueName="[Ecommerce_Sales_Data_2024_2025].[Product Name].[All]" dimensionUniqueName="[Ecommerce_Sales_Data_2024_2025]" displayFolder="" count="2" memberValueDatatype="130" unbalanced="0"/>
    <cacheHierarchy uniqueName="[Ecommerce_Sales_Data_2024_2025].[Quantity]" caption="Quantity" attribute="1" defaultMemberUniqueName="[Ecommerce_Sales_Data_2024_2025].[Quantity].[All]" allUniqueName="[Ecommerce_Sales_Data_2024_2025].[Quantity].[All]" dimensionUniqueName="[Ecommerce_Sales_Data_2024_2025]" displayFolder="" count="2" memberValueDatatype="20" unbalanced="0"/>
    <cacheHierarchy uniqueName="[Ecommerce_Sales_Data_2024_2025].[Unit Price]" caption="Unit Price" attribute="1" defaultMemberUniqueName="[Ecommerce_Sales_Data_2024_2025].[Unit Price].[All]" allUniqueName="[Ecommerce_Sales_Data_2024_2025].[Unit Price].[All]" dimensionUniqueName="[Ecommerce_Sales_Data_2024_2025]" displayFolder="" count="2" memberValueDatatype="20" unbalanced="0"/>
    <cacheHierarchy uniqueName="[Ecommerce_Sales_Data_2024_2025].[Discount]" caption="Discount" attribute="1" defaultMemberUniqueName="[Ecommerce_Sales_Data_2024_2025].[Discount].[All]" allUniqueName="[Ecommerce_Sales_Data_2024_2025].[Discount].[All]" dimensionUniqueName="[Ecommerce_Sales_Data_2024_2025]" displayFolder="" count="2" memberValueDatatype="20" unbalanced="0"/>
    <cacheHierarchy uniqueName="[Ecommerce_Sales_Data_2024_2025].[Sales]" caption="Sales" attribute="1" defaultMemberUniqueName="[Ecommerce_Sales_Data_2024_2025].[Sales].[All]" allUniqueName="[Ecommerce_Sales_Data_2024_2025].[Sales].[All]" dimensionUniqueName="[Ecommerce_Sales_Data_2024_2025]" displayFolder="" count="2" memberValueDatatype="5" unbalanced="0"/>
    <cacheHierarchy uniqueName="[Ecommerce_Sales_Data_2024_2025].[Profit]" caption="Profit" attribute="1" defaultMemberUniqueName="[Ecommerce_Sales_Data_2024_2025].[Profit].[All]" allUniqueName="[Ecommerce_Sales_Data_2024_2025].[Profit].[All]" dimensionUniqueName="[Ecommerce_Sales_Data_2024_2025]" displayFolder="" count="2" memberValueDatatype="5" unbalanced="0"/>
    <cacheHierarchy uniqueName="[Ecommerce_Sales_Data_2024_2025].[Payment Mode]" caption="Payment Mode" attribute="1" defaultMemberUniqueName="[Ecommerce_Sales_Data_2024_2025].[Payment Mode].[All]" allUniqueName="[Ecommerce_Sales_Data_2024_2025].[Payment Mode].[All]" dimensionUniqueName="[Ecommerce_Sales_Data_2024_2025]" displayFolder="" count="2" memberValueDatatype="130" unbalanced="0"/>
    <cacheHierarchy uniqueName="[Ecommerce_Sales_Data_2024_2025].[Order Date (Year)]" caption="Order Date (Year)" attribute="1" defaultMemberUniqueName="[Ecommerce_Sales_Data_2024_2025].[Order Date (Year)].[All]" allUniqueName="[Ecommerce_Sales_Data_2024_2025].[Order Date (Year)].[All]" dimensionUniqueName="[Ecommerce_Sales_Data_2024_2025]" displayFolder="" count="2" memberValueDatatype="130" unbalanced="0"/>
    <cacheHierarchy uniqueName="[Ecommerce_Sales_Data_2024_2025].[Order Date (Month)]" caption="Order Date (Month)" attribute="1" defaultMemberUniqueName="[Ecommerce_Sales_Data_2024_2025].[Order Date (Month)].[All]" allUniqueName="[Ecommerce_Sales_Data_2024_2025].[Order Date (Month)].[All]" dimensionUniqueName="[Ecommerce_Sales_Data_2024_2025]" displayFolder="" count="2" memberValueDatatype="130" unbalanced="0">
      <fieldsUsage count="2">
        <fieldUsage x="-1"/>
        <fieldUsage x="0"/>
      </fieldsUsage>
    </cacheHierarchy>
    <cacheHierarchy uniqueName="[Ecommerce_Sales_Data_2024_2025].[Order Date (Month Index)]" caption="Order Date (Month Index)" attribute="1" defaultMemberUniqueName="[Ecommerce_Sales_Data_2024_2025].[Order Date (Month Index)].[All]" allUniqueName="[Ecommerce_Sales_Data_2024_2025].[Order Date (Month Index)].[All]" dimensionUniqueName="[Ecommerce_Sales_Data_2024_2025]" displayFolder="" count="2" memberValueDatatype="20" unbalanced="0" hidden="1"/>
    <cacheHierarchy uniqueName="[Measures].[Profit_margin ]" caption="Profit_margin " measure="1" displayFolder="" measureGroup="Ecommerce_Sales_Data_2024_2025" count="0"/>
    <cacheHierarchy uniqueName="[Measures].[__XL_Count Ecommerce_Sales_Data_2024_2025]" caption="__XL_Count Ecommerce_Sales_Data_2024_2025" measure="1" displayFolder="" measureGroup="Ecommerce_Sales_Data_2024_2025" count="0" hidden="1"/>
    <cacheHierarchy uniqueName="[Measures].[__No measures defined]" caption="__No measures defined" measure="1" displayFolder="" count="0" hidden="1"/>
    <cacheHierarchy uniqueName="[Measures].[Sum of Sales]" caption="Sum of Sales" measure="1" displayFolder="" measureGroup="Ecommerce_Sales_Data_2024_2025"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Ecommerce_Sales_Data_2024_2025"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Ecommerce_Sales_Data_2024_2025"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Order Date (Month)]" caption="Count of Order Date (Month)" measure="1" displayFolder="" measureGroup="Ecommerce_Sales_Data_2024_2025" count="0" hidden="1">
      <extLst>
        <ext xmlns:x15="http://schemas.microsoft.com/office/spreadsheetml/2010/11/main" uri="{B97F6D7D-B522-45F9-BDA1-12C45D357490}">
          <x15:cacheHierarchy aggregatedColumn="15"/>
        </ext>
      </extLst>
    </cacheHierarchy>
    <cacheHierarchy uniqueName="[Measures].[Count of Payment Mode]" caption="Count of Payment Mode" measure="1" displayFolder="" measureGroup="Ecommerce_Sales_Data_2024_2025" count="0" hidden="1">
      <extLst>
        <ext xmlns:x15="http://schemas.microsoft.com/office/spreadsheetml/2010/11/main" uri="{B97F6D7D-B522-45F9-BDA1-12C45D357490}">
          <x15:cacheHierarchy aggregatedColumn="13"/>
        </ext>
      </extLst>
    </cacheHierarchy>
  </cacheHierarchies>
  <kpis count="0"/>
  <dimensions count="2">
    <dimension name="Ecommerce_Sales_Data_2024_2025" uniqueName="[Ecommerce_Sales_Data_2024_2025]" caption="Ecommerce_Sales_Data_2024_2025"/>
    <dimension measure="1" name="Measures" uniqueName="[Measures]" caption="Measures"/>
  </dimensions>
  <measureGroups count="1">
    <measureGroup name="Ecommerce_Sales_Data_2024_2025" caption="Ecommerce_Sales_Data_2024_2025"/>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e fg" refreshedDate="46291.048936226849" backgroundQuery="1" createdVersion="3" refreshedVersion="8" minRefreshableVersion="3" recordCount="0" supportSubquery="1" supportAdvancedDrill="1" xr:uid="{9F64A386-3C4F-41E2-8331-FE150D2488F9}">
  <cacheSource type="external" connectionId="2">
    <extLst>
      <ext xmlns:x14="http://schemas.microsoft.com/office/spreadsheetml/2009/9/main" uri="{F057638F-6D5F-4e77-A914-E7F072B9BCA8}">
        <x14:sourceConnection name="ThisWorkbookDataModel"/>
      </ext>
    </extLst>
  </cacheSource>
  <cacheFields count="0"/>
  <cacheHierarchies count="25">
    <cacheHierarchy uniqueName="[Ecommerce_Sales_Data_2024_2025].[Order ID]" caption="Order ID" attribute="1" defaultMemberUniqueName="[Ecommerce_Sales_Data_2024_2025].[Order ID].[All]" allUniqueName="[Ecommerce_Sales_Data_2024_2025].[Order ID].[All]" dimensionUniqueName="[Ecommerce_Sales_Data_2024_2025]" displayFolder="" count="0" memberValueDatatype="20" unbalanced="0"/>
    <cacheHierarchy uniqueName="[Ecommerce_Sales_Data_2024_2025].[Order Date]" caption="Order Date" attribute="1" time="1" defaultMemberUniqueName="[Ecommerce_Sales_Data_2024_2025].[Order Date].[All]" allUniqueName="[Ecommerce_Sales_Data_2024_2025].[Order Date].[All]" dimensionUniqueName="[Ecommerce_Sales_Data_2024_2025]" displayFolder="" count="0" memberValueDatatype="7" unbalanced="0"/>
    <cacheHierarchy uniqueName="[Ecommerce_Sales_Data_2024_2025].[Customer Name]" caption="Customer Name" attribute="1" defaultMemberUniqueName="[Ecommerce_Sales_Data_2024_2025].[Customer Name].[All]" allUniqueName="[Ecommerce_Sales_Data_2024_2025].[Customer Name].[All]" dimensionUniqueName="[Ecommerce_Sales_Data_2024_2025]" displayFolder="" count="0" memberValueDatatype="130" unbalanced="0"/>
    <cacheHierarchy uniqueName="[Ecommerce_Sales_Data_2024_2025].[Region]" caption="Region" attribute="1" defaultMemberUniqueName="[Ecommerce_Sales_Data_2024_2025].[Region].[All]" allUniqueName="[Ecommerce_Sales_Data_2024_2025].[Region].[All]" dimensionUniqueName="[Ecommerce_Sales_Data_2024_2025]" displayFolder="" count="2" memberValueDatatype="130" unbalanced="0"/>
    <cacheHierarchy uniqueName="[Ecommerce_Sales_Data_2024_2025].[City]" caption="City" attribute="1" defaultMemberUniqueName="[Ecommerce_Sales_Data_2024_2025].[City].[All]" allUniqueName="[Ecommerce_Sales_Data_2024_2025].[City].[All]" dimensionUniqueName="[Ecommerce_Sales_Data_2024_2025]" displayFolder="" count="2" memberValueDatatype="130" unbalanced="0"/>
    <cacheHierarchy uniqueName="[Ecommerce_Sales_Data_2024_2025].[Category]" caption="Category" attribute="1" defaultMemberUniqueName="[Ecommerce_Sales_Data_2024_2025].[Category].[All]" allUniqueName="[Ecommerce_Sales_Data_2024_2025].[Category].[All]" dimensionUniqueName="[Ecommerce_Sales_Data_2024_2025]" displayFolder="" count="0" memberValueDatatype="130" unbalanced="0"/>
    <cacheHierarchy uniqueName="[Ecommerce_Sales_Data_2024_2025].[Sub-Category]" caption="Sub-Category" attribute="1" defaultMemberUniqueName="[Ecommerce_Sales_Data_2024_2025].[Sub-Category].[All]" allUniqueName="[Ecommerce_Sales_Data_2024_2025].[Sub-Category].[All]" dimensionUniqueName="[Ecommerce_Sales_Data_2024_2025]" displayFolder="" count="0" memberValueDatatype="130" unbalanced="0"/>
    <cacheHierarchy uniqueName="[Ecommerce_Sales_Data_2024_2025].[Product Name]" caption="Product Name" attribute="1" defaultMemberUniqueName="[Ecommerce_Sales_Data_2024_2025].[Product Name].[All]" allUniqueName="[Ecommerce_Sales_Data_2024_2025].[Product Name].[All]" dimensionUniqueName="[Ecommerce_Sales_Data_2024_2025]" displayFolder="" count="0" memberValueDatatype="130" unbalanced="0"/>
    <cacheHierarchy uniqueName="[Ecommerce_Sales_Data_2024_2025].[Quantity]" caption="Quantity" attribute="1" defaultMemberUniqueName="[Ecommerce_Sales_Data_2024_2025].[Quantity].[All]" allUniqueName="[Ecommerce_Sales_Data_2024_2025].[Quantity].[All]" dimensionUniqueName="[Ecommerce_Sales_Data_2024_2025]" displayFolder="" count="0" memberValueDatatype="20" unbalanced="0"/>
    <cacheHierarchy uniqueName="[Ecommerce_Sales_Data_2024_2025].[Unit Price]" caption="Unit Price" attribute="1" defaultMemberUniqueName="[Ecommerce_Sales_Data_2024_2025].[Unit Price].[All]" allUniqueName="[Ecommerce_Sales_Data_2024_2025].[Unit Price].[All]" dimensionUniqueName="[Ecommerce_Sales_Data_2024_2025]" displayFolder="" count="0" memberValueDatatype="20" unbalanced="0"/>
    <cacheHierarchy uniqueName="[Ecommerce_Sales_Data_2024_2025].[Discount]" caption="Discount" attribute="1" defaultMemberUniqueName="[Ecommerce_Sales_Data_2024_2025].[Discount].[All]" allUniqueName="[Ecommerce_Sales_Data_2024_2025].[Discount].[All]" dimensionUniqueName="[Ecommerce_Sales_Data_2024_2025]" displayFolder="" count="0" memberValueDatatype="20" unbalanced="0"/>
    <cacheHierarchy uniqueName="[Ecommerce_Sales_Data_2024_2025].[Sales]" caption="Sales" attribute="1" defaultMemberUniqueName="[Ecommerce_Sales_Data_2024_2025].[Sales].[All]" allUniqueName="[Ecommerce_Sales_Data_2024_2025].[Sales].[All]" dimensionUniqueName="[Ecommerce_Sales_Data_2024_2025]" displayFolder="" count="0" memberValueDatatype="5" unbalanced="0"/>
    <cacheHierarchy uniqueName="[Ecommerce_Sales_Data_2024_2025].[Profit]" caption="Profit" attribute="1" defaultMemberUniqueName="[Ecommerce_Sales_Data_2024_2025].[Profit].[All]" allUniqueName="[Ecommerce_Sales_Data_2024_2025].[Profit].[All]" dimensionUniqueName="[Ecommerce_Sales_Data_2024_2025]" displayFolder="" count="0" memberValueDatatype="5" unbalanced="0"/>
    <cacheHierarchy uniqueName="[Ecommerce_Sales_Data_2024_2025].[Payment Mode]" caption="Payment Mode" attribute="1" defaultMemberUniqueName="[Ecommerce_Sales_Data_2024_2025].[Payment Mode].[All]" allUniqueName="[Ecommerce_Sales_Data_2024_2025].[Payment Mode].[All]" dimensionUniqueName="[Ecommerce_Sales_Data_2024_2025]" displayFolder="" count="2" memberValueDatatype="130" unbalanced="0"/>
    <cacheHierarchy uniqueName="[Ecommerce_Sales_Data_2024_2025].[Order Date (Year)]" caption="Order Date (Year)" attribute="1" defaultMemberUniqueName="[Ecommerce_Sales_Data_2024_2025].[Order Date (Year)].[All]" allUniqueName="[Ecommerce_Sales_Data_2024_2025].[Order Date (Year)].[All]" dimensionUniqueName="[Ecommerce_Sales_Data_2024_2025]" displayFolder="" count="2" memberValueDatatype="130" unbalanced="0"/>
    <cacheHierarchy uniqueName="[Ecommerce_Sales_Data_2024_2025].[Order Date (Month)]" caption="Order Date (Month)" attribute="1" defaultMemberUniqueName="[Ecommerce_Sales_Data_2024_2025].[Order Date (Month)].[All]" allUniqueName="[Ecommerce_Sales_Data_2024_2025].[Order Date (Month)].[All]" dimensionUniqueName="[Ecommerce_Sales_Data_2024_2025]" displayFolder="" count="0" memberValueDatatype="130" unbalanced="0"/>
    <cacheHierarchy uniqueName="[Ecommerce_Sales_Data_2024_2025].[Order Date (Month Index)]" caption="Order Date (Month Index)" attribute="1" defaultMemberUniqueName="[Ecommerce_Sales_Data_2024_2025].[Order Date (Month Index)].[All]" allUniqueName="[Ecommerce_Sales_Data_2024_2025].[Order Date (Month Index)].[All]" dimensionUniqueName="[Ecommerce_Sales_Data_2024_2025]" displayFolder="" count="0" memberValueDatatype="20" unbalanced="0" hidden="1"/>
    <cacheHierarchy uniqueName="[Measures].[Profit_margin ]" caption="Profit_margin " measure="1" displayFolder="" measureGroup="Ecommerce_Sales_Data_2024_2025" count="0"/>
    <cacheHierarchy uniqueName="[Measures].[__XL_Count Ecommerce_Sales_Data_2024_2025]" caption="__XL_Count Ecommerce_Sales_Data_2024_2025" measure="1" displayFolder="" measureGroup="Ecommerce_Sales_Data_2024_2025" count="0" hidden="1"/>
    <cacheHierarchy uniqueName="[Measures].[__No measures defined]" caption="__No measures defined" measure="1" displayFolder="" count="0" hidden="1"/>
    <cacheHierarchy uniqueName="[Measures].[Sum of Sales]" caption="Sum of Sales" measure="1" displayFolder="" measureGroup="Ecommerce_Sales_Data_2024_2025"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Ecommerce_Sales_Data_2024_2025"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Ecommerce_Sales_Data_2024_2025" count="0" hidden="1">
      <extLst>
        <ext xmlns:x15="http://schemas.microsoft.com/office/spreadsheetml/2010/11/main" uri="{B97F6D7D-B522-45F9-BDA1-12C45D357490}">
          <x15:cacheHierarchy aggregatedColumn="12"/>
        </ext>
      </extLst>
    </cacheHierarchy>
    <cacheHierarchy uniqueName="[Measures].[Count of Order Date (Month)]" caption="Count of Order Date (Month)" measure="1" displayFolder="" measureGroup="Ecommerce_Sales_Data_2024_2025" count="0" hidden="1">
      <extLst>
        <ext xmlns:x15="http://schemas.microsoft.com/office/spreadsheetml/2010/11/main" uri="{B97F6D7D-B522-45F9-BDA1-12C45D357490}">
          <x15:cacheHierarchy aggregatedColumn="15"/>
        </ext>
      </extLst>
    </cacheHierarchy>
    <cacheHierarchy uniqueName="[Measures].[Count of Payment Mode]" caption="Count of Payment Mode" measure="1" displayFolder="" measureGroup="Ecommerce_Sales_Data_2024_2025"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6971155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2F70F4-3C38-4EC0-9650-BF461CDDB1F0}" name="PivotTable4" cacheId="4" applyNumberFormats="0" applyBorderFormats="0" applyFontFormats="0" applyPatternFormats="0" applyAlignmentFormats="0" applyWidthHeightFormats="1" dataCaption="Values" tag="a60a001e-48ae-4689-8b57-22c3c722b003" updatedVersion="8" minRefreshableVersion="3" useAutoFormatting="1" itemPrintTitles="1" createdVersion="8" indent="0" outline="1" outlineData="1" multipleFieldFilters="0" chartFormat="11">
  <location ref="D14:E25"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4"/>
    </i>
    <i>
      <x v="6"/>
    </i>
    <i>
      <x/>
    </i>
    <i>
      <x v="2"/>
    </i>
    <i>
      <x v="8"/>
    </i>
    <i>
      <x v="5"/>
    </i>
    <i>
      <x v="7"/>
    </i>
    <i>
      <x v="9"/>
    </i>
    <i>
      <x v="3"/>
    </i>
    <i>
      <x v="1"/>
    </i>
    <i t="grand">
      <x/>
    </i>
  </rowItems>
  <colItems count="1">
    <i/>
  </colItems>
  <dataFields count="1">
    <dataField fld="1" subtotal="count" baseField="0" baseItem="0"/>
  </dataFields>
  <formats count="1">
    <format dxfId="0">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7">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Sales_Data_2024_202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0CE198-B06C-4036-BF8B-1E56202E4B92}" name="PivotTable3" cacheId="3" applyNumberFormats="0" applyBorderFormats="0" applyFontFormats="0" applyPatternFormats="0" applyAlignmentFormats="0" applyWidthHeightFormats="1" dataCaption="Values" tag="f371412e-e677-4cbb-bd23-1a76cdfc94ca" updatedVersion="8" minRefreshableVersion="3" useAutoFormatting="1" subtotalHiddenItems="1" itemPrintTitles="1" createdVersion="8" indent="0" outline="1" outlineData="1" multipleFieldFilters="0" chartFormat="12">
  <location ref="D1:E12"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7"/>
    </i>
    <i>
      <x v="5"/>
    </i>
    <i>
      <x v="8"/>
    </i>
    <i>
      <x v="9"/>
    </i>
    <i>
      <x v="1"/>
    </i>
    <i>
      <x v="6"/>
    </i>
    <i>
      <x/>
    </i>
    <i>
      <x v="4"/>
    </i>
    <i>
      <x v="3"/>
    </i>
    <i>
      <x v="2"/>
    </i>
    <i t="grand">
      <x/>
    </i>
  </rowItems>
  <colItems count="1">
    <i/>
  </colItems>
  <dataFields count="1">
    <dataField name="Sum of Sales" fld="1" baseField="0" baseItem="0" numFmtId="164"/>
  </dataFields>
  <chartFormats count="1">
    <chartFormat chart="2" format="1"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0">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Sales_Data_2024_202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5F1CF2-3B5A-4C75-A320-A377D54F6EB0}" name="PivotTable2" cacheId="2" applyNumberFormats="0" applyBorderFormats="0" applyFontFormats="0" applyPatternFormats="0" applyAlignmentFormats="0" applyWidthHeightFormats="1" dataCaption="Values" tag="b2d9b3c4-f973-4aa9-80b6-0af58248edb2" updatedVersion="8" minRefreshableVersion="3" useAutoFormatting="1" itemPrintTitles="1" createdVersion="8" indent="0" outline="1" outlineData="1" multipleFieldFilters="0" chartFormat="4">
  <location ref="A14:B25" firstHeaderRow="1"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4"/>
    </i>
    <i>
      <x v="6"/>
    </i>
    <i>
      <x v="2"/>
    </i>
    <i>
      <x v="1"/>
    </i>
    <i>
      <x v="3"/>
    </i>
    <i>
      <x v="9"/>
    </i>
    <i>
      <x v="7"/>
    </i>
    <i>
      <x v="8"/>
    </i>
    <i>
      <x/>
    </i>
    <i>
      <x v="5"/>
    </i>
    <i t="grand">
      <x/>
    </i>
  </rowItems>
  <colItems count="1">
    <i/>
  </colItems>
  <dataFields count="1">
    <dataField name="Sum of Profit" fld="1" baseField="0" baseItem="0" numFmtId="164"/>
  </dataFields>
  <chartFormats count="1">
    <chartFormat chart="2" format="1"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Sales_Data_2024_202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079C03-28B3-4A61-87FB-1D923DBF5FEC}" name="PivotTable1" cacheId="1" applyNumberFormats="0" applyBorderFormats="0" applyFontFormats="0" applyPatternFormats="0" applyAlignmentFormats="0" applyWidthHeightFormats="1" dataCaption="Values" tag="909e90ad-bbc2-4f0e-b8b3-1dd0431dfdbe" updatedVersion="8" minRefreshableVersion="3" useAutoFormatting="1" itemPrintTitles="1" createdVersion="8" indent="0" outline="1" outlineData="1" multipleFieldFilters="0" chartFormat="2">
  <location ref="A1:B12" firstHeaderRow="1" firstDataRow="1" firstDataCol="1"/>
  <pivotFields count="3">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5"/>
    </i>
    <i>
      <x/>
    </i>
    <i>
      <x v="8"/>
    </i>
    <i>
      <x v="9"/>
    </i>
    <i>
      <x v="3"/>
    </i>
    <i>
      <x v="7"/>
    </i>
    <i>
      <x v="1"/>
    </i>
    <i>
      <x v="2"/>
    </i>
    <i>
      <x v="4"/>
    </i>
    <i>
      <x v="6"/>
    </i>
    <i t="grand">
      <x/>
    </i>
  </rowItems>
  <colItems count="1">
    <i/>
  </colItems>
  <dataFields count="1">
    <dataField name="Sum of Sales" fld="1" baseField="0" baseItem="1" numFmtId="164"/>
  </dataFields>
  <chartFormats count="1">
    <chartFormat chart="1" format="1"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Sale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Ecommerce_Sales_Data_2024_2025">
        <x15:activeTabTopLevelEntity name="[Ecommerce_Sales_Data_2024_202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209DBC-A19A-4FAA-AC25-65850A98EEE9}" name="PivotTable5" cacheId="11" applyNumberFormats="0" applyBorderFormats="0" applyFontFormats="0" applyPatternFormats="0" applyAlignmentFormats="0" applyWidthHeightFormats="1" dataCaption="Values" tag="28120839-1cba-472c-8032-0c2c34e3f785" updatedVersion="8" minRefreshableVersion="3" useAutoFormatting="1" subtotalHiddenItems="1" itemPrintTitles="1" createdVersion="8" indent="0" outline="1" outlineData="1" multipleFieldFilters="0" chartFormat="5">
  <location ref="A27:C40" firstHeaderRow="0"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Revenue" fld="1" baseField="0" baseItem="0" numFmtId="164"/>
    <dataField name="Profit" fld="2" baseField="0" baseItem="0" numFmtId="164"/>
  </dataFields>
  <chartFormats count="2">
    <chartFormat chart="3"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1"/>
          </reference>
        </references>
      </pivotArea>
    </chartFormat>
  </chartFormats>
  <pivotHierarchies count="2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caption="Profit"/>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Sales_Data_2024_2025]"/>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369C5281-027E-4DF7-9F3E-F278BC136031}" sourceName="[Ecommerce_Sales_Data_2024_2025].[Order Date (Year)]">
  <pivotTables>
    <pivotTable tabId="1" name="PivotTable5"/>
    <pivotTable tabId="1" name="PivotTable1"/>
    <pivotTable tabId="1" name="PivotTable2"/>
    <pivotTable tabId="1" name="PivotTable3"/>
    <pivotTable tabId="1" name="PivotTable4"/>
  </pivotTables>
  <data>
    <olap pivotCacheId="69711555">
      <levels count="2">
        <level uniqueName="[Ecommerce_Sales_Data_2024_2025].[Order Date (Year)].[(All)]" sourceCaption="(All)" count="0"/>
        <level uniqueName="[Ecommerce_Sales_Data_2024_2025].[Order Date (Year)].[Order Date (Year)]" sourceCaption="Order Date (Year)" count="3">
          <ranges>
            <range startItem="0">
              <i n="[Ecommerce_Sales_Data_2024_2025].[Order Date (Year)].&amp;[2023]" c="2023"/>
              <i n="[Ecommerce_Sales_Data_2024_2025].[Order Date (Year)].&amp;[2024]" c="2024"/>
              <i n="[Ecommerce_Sales_Data_2024_2025].[Order Date (Year)].&amp;[2025]" c="2025"/>
            </range>
          </ranges>
        </level>
      </levels>
      <selections count="1">
        <selection n="[Ecommerce_Sales_Data_2024_2025].[Order 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677E1CB-03F0-4432-BCFC-145E25475E8E}" sourceName="[Ecommerce_Sales_Data_2024_2025].[Region]">
  <pivotTables>
    <pivotTable tabId="1" name="PivotTable5"/>
    <pivotTable tabId="1" name="PivotTable1"/>
    <pivotTable tabId="1" name="PivotTable2"/>
    <pivotTable tabId="1" name="PivotTable3"/>
    <pivotTable tabId="1" name="PivotTable4"/>
  </pivotTables>
  <data>
    <olap pivotCacheId="69711555">
      <levels count="2">
        <level uniqueName="[Ecommerce_Sales_Data_2024_2025].[Region].[(All)]" sourceCaption="(All)" count="0"/>
        <level uniqueName="[Ecommerce_Sales_Data_2024_2025].[Region].[Region]" sourceCaption="Region" count="4">
          <ranges>
            <range startItem="0">
              <i n="[Ecommerce_Sales_Data_2024_2025].[Region].&amp;[East]" c="East"/>
              <i n="[Ecommerce_Sales_Data_2024_2025].[Region].&amp;[North]" c="North"/>
              <i n="[Ecommerce_Sales_Data_2024_2025].[Region].&amp;[South]" c="South"/>
              <i n="[Ecommerce_Sales_Data_2024_2025].[Region].&amp;[West]" c="West"/>
            </range>
          </ranges>
        </level>
      </levels>
      <selections count="1">
        <selection n="[Ecommerce_Sales_Data_2024_2025].[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B69170E-71BF-49A2-97FD-52A1BF20C1D0}" sourceName="[Ecommerce_Sales_Data_2024_2025].[City]">
  <pivotTables>
    <pivotTable tabId="1" name="PivotTable5"/>
    <pivotTable tabId="1" name="PivotTable1"/>
    <pivotTable tabId="1" name="PivotTable2"/>
    <pivotTable tabId="1" name="PivotTable3"/>
    <pivotTable tabId="1" name="PivotTable4"/>
  </pivotTables>
  <data>
    <olap pivotCacheId="69711555">
      <levels count="2">
        <level uniqueName="[Ecommerce_Sales_Data_2024_2025].[City].[(All)]" sourceCaption="(All)" count="0"/>
        <level uniqueName="[Ecommerce_Sales_Data_2024_2025].[City].[City]" sourceCaption="City" count="20">
          <ranges>
            <range startItem="0">
              <i n="[Ecommerce_Sales_Data_2024_2025].[City].&amp;[Ahmedabad]" c="Ahmedabad"/>
              <i n="[Ecommerce_Sales_Data_2024_2025].[City].&amp;[Amritsar]" c="Amritsar"/>
              <i n="[Ecommerce_Sales_Data_2024_2025].[City].&amp;[Bangalore]" c="Bangalore"/>
              <i n="[Ecommerce_Sales_Data_2024_2025].[City].&amp;[Bhubaneswar]" c="Bhubaneswar"/>
              <i n="[Ecommerce_Sales_Data_2024_2025].[City].&amp;[Chandigarh]" c="Chandigarh"/>
              <i n="[Ecommerce_Sales_Data_2024_2025].[City].&amp;[Chennai]" c="Chennai"/>
              <i n="[Ecommerce_Sales_Data_2024_2025].[City].&amp;[Coimbatore]" c="Coimbatore"/>
              <i n="[Ecommerce_Sales_Data_2024_2025].[City].&amp;[Delhi]" c="Delhi"/>
              <i n="[Ecommerce_Sales_Data_2024_2025].[City].&amp;[Goa]" c="Goa"/>
              <i n="[Ecommerce_Sales_Data_2024_2025].[City].&amp;[Guwahati]" c="Guwahati"/>
              <i n="[Ecommerce_Sales_Data_2024_2025].[City].&amp;[Hyderabad]" c="Hyderabad"/>
              <i n="[Ecommerce_Sales_Data_2024_2025].[City].&amp;[Jaipur]" c="Jaipur"/>
              <i n="[Ecommerce_Sales_Data_2024_2025].[City].&amp;[Kolkata]" c="Kolkata"/>
              <i n="[Ecommerce_Sales_Data_2024_2025].[City].&amp;[Lucknow]" c="Lucknow"/>
              <i n="[Ecommerce_Sales_Data_2024_2025].[City].&amp;[Mumbai]" c="Mumbai"/>
              <i n="[Ecommerce_Sales_Data_2024_2025].[City].&amp;[Patna]" c="Patna"/>
              <i n="[Ecommerce_Sales_Data_2024_2025].[City].&amp;[Pune]" c="Pune"/>
              <i n="[Ecommerce_Sales_Data_2024_2025].[City].&amp;[Ranchi]" c="Ranchi"/>
              <i n="[Ecommerce_Sales_Data_2024_2025].[City].&amp;[Surat]" c="Surat"/>
              <i n="[Ecommerce_Sales_Data_2024_2025].[City].&amp;[Thiruvananthapuram]" c="Thiruvananthapuram"/>
            </range>
          </ranges>
        </level>
      </levels>
      <selections count="1">
        <selection n="[Ecommerce_Sales_Data_2024_2025].[Cit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FC067547-9985-4B71-A10C-4E0AF198F3DB}" sourceName="[Ecommerce_Sales_Data_2024_2025].[Payment Mode]">
  <pivotTables>
    <pivotTable tabId="1" name="PivotTable5"/>
    <pivotTable tabId="1" name="PivotTable1"/>
    <pivotTable tabId="1" name="PivotTable2"/>
    <pivotTable tabId="1" name="PivotTable3"/>
    <pivotTable tabId="1" name="PivotTable4"/>
  </pivotTables>
  <data>
    <olap pivotCacheId="69711555">
      <levels count="2">
        <level uniqueName="[Ecommerce_Sales_Data_2024_2025].[Payment Mode].[(All)]" sourceCaption="(All)" count="0"/>
        <level uniqueName="[Ecommerce_Sales_Data_2024_2025].[Payment Mode].[Payment Mode]" sourceCaption="Payment Mode" count="5">
          <ranges>
            <range startItem="0">
              <i n="[Ecommerce_Sales_Data_2024_2025].[Payment Mode].&amp;[COD]" c="COD"/>
              <i n="[Ecommerce_Sales_Data_2024_2025].[Payment Mode].&amp;[Credit Card]" c="Credit Card"/>
              <i n="[Ecommerce_Sales_Data_2024_2025].[Payment Mode].&amp;[Debit Card]" c="Debit Card"/>
              <i n="[Ecommerce_Sales_Data_2024_2025].[Payment Mode].&amp;[Net Banking]" c="Net Banking"/>
              <i n="[Ecommerce_Sales_Data_2024_2025].[Payment Mode].&amp;[UPI]" c="UPI"/>
            </range>
          </ranges>
        </level>
      </levels>
      <selections count="1">
        <selection n="[Ecommerce_Sales_Data_2024_2025].[Payment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xr10:uid="{9D9ABDA5-6240-49EE-AA69-CBA292EEAA39}" cache="Slicer_Order_Date__Year" caption="Year" level="1" rowHeight="251883"/>
  <slicer name="Region" xr10:uid="{8659F4BC-5D48-4AE0-8E35-F3DD1CF9A6E0}" cache="Slicer_Region" caption="Region" level="1" rowHeight="251883"/>
  <slicer name="City" xr10:uid="{4FE81A06-1BCB-45AD-B34F-C96B333AEF5D}" cache="Slicer_City" caption="City" startItem="9" level="1" rowHeight="251883"/>
  <slicer name="Payment Mode" xr10:uid="{8E95B2E8-1569-4041-83D9-231B8554FA72}" cache="Slicer_Payment_Mode" caption="Payment Mode"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1" xr10:uid="{49B0B238-D686-4A27-A4E3-D1664693394F}" cache="Slicer_Order_Date__Year" caption="Year" level="1" style="SlicerStyleDark1" rowHeight="251883"/>
  <slicer name="Region 1" xr10:uid="{8156D7B1-5BF2-4533-BFFE-E4AE2EC35B80}" cache="Slicer_Region" caption="Region" level="1" style="SlicerStyleDark1" rowHeight="251883"/>
  <slicer name="City 1" xr10:uid="{0E2C1ABE-D07E-4608-8A24-761D79B945F2}" cache="Slicer_City" caption="City" startItem="3" level="1" style="SlicerStyleDark1" rowHeight="251883"/>
  <slicer name="Payment Mode 1" xr10:uid="{05EAF780-5A0A-4016-A048-46C195DAC324}" cache="Slicer_Payment_Mode" caption="Payment Mode" startItem="1" level="1" style="SlicerStyleDark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74C16-76C1-4FA7-B35B-FE9F08BBC2CA}">
  <dimension ref="A1:C17"/>
  <sheetViews>
    <sheetView workbookViewId="0">
      <selection activeCell="C20" sqref="C20"/>
    </sheetView>
  </sheetViews>
  <sheetFormatPr defaultRowHeight="14.5" x14ac:dyDescent="0.35"/>
  <cols>
    <col min="1" max="1" width="13" bestFit="1" customWidth="1"/>
    <col min="2" max="2" width="10.90625" bestFit="1" customWidth="1"/>
    <col min="3" max="3" width="14.81640625" style="7" bestFit="1" customWidth="1"/>
  </cols>
  <sheetData>
    <row r="1" spans="1:3" x14ac:dyDescent="0.35">
      <c r="A1" s="13" t="s">
        <v>53</v>
      </c>
      <c r="B1" s="13" t="s">
        <v>52</v>
      </c>
      <c r="C1" s="12" t="s">
        <v>51</v>
      </c>
    </row>
    <row r="2" spans="1:3" x14ac:dyDescent="0.35">
      <c r="A2" s="11" t="s">
        <v>27</v>
      </c>
      <c r="B2" s="11">
        <v>1225</v>
      </c>
      <c r="C2" s="10">
        <v>15185544.25</v>
      </c>
    </row>
    <row r="3" spans="1:3" x14ac:dyDescent="0.35">
      <c r="A3" s="11" t="s">
        <v>23</v>
      </c>
      <c r="B3" s="11">
        <v>1230</v>
      </c>
      <c r="C3" s="10">
        <v>14767580.199999999</v>
      </c>
    </row>
    <row r="4" spans="1:3" x14ac:dyDescent="0.35">
      <c r="A4" s="11" t="s">
        <v>30</v>
      </c>
      <c r="B4" s="11">
        <v>1025</v>
      </c>
      <c r="C4" s="10">
        <v>12934015.25</v>
      </c>
    </row>
    <row r="5" spans="1:3" x14ac:dyDescent="0.35">
      <c r="A5" s="11" t="s">
        <v>32</v>
      </c>
      <c r="B5" s="11">
        <v>1115</v>
      </c>
      <c r="C5" s="10">
        <v>12646602.9</v>
      </c>
    </row>
    <row r="6" spans="1:3" x14ac:dyDescent="0.35">
      <c r="A6" s="11" t="s">
        <v>18</v>
      </c>
      <c r="B6" s="11">
        <v>920</v>
      </c>
      <c r="C6" s="10">
        <v>12376112.800000001</v>
      </c>
    </row>
    <row r="7" spans="1:3" x14ac:dyDescent="0.35">
      <c r="A7" s="11" t="s">
        <v>25</v>
      </c>
      <c r="B7" s="11">
        <v>1155</v>
      </c>
      <c r="C7" s="10">
        <v>12219033.75</v>
      </c>
    </row>
    <row r="8" spans="1:3" x14ac:dyDescent="0.35">
      <c r="A8" s="11" t="s">
        <v>15</v>
      </c>
      <c r="B8" s="11">
        <v>1155</v>
      </c>
      <c r="C8" s="10">
        <v>12211588.6</v>
      </c>
    </row>
    <row r="9" spans="1:3" x14ac:dyDescent="0.35">
      <c r="A9" s="11" t="s">
        <v>21</v>
      </c>
      <c r="B9" s="11">
        <v>1185</v>
      </c>
      <c r="C9" s="10">
        <v>12194033.75</v>
      </c>
    </row>
    <row r="10" spans="1:3" x14ac:dyDescent="0.35">
      <c r="A10" s="11" t="s">
        <v>20</v>
      </c>
      <c r="B10" s="11">
        <v>935</v>
      </c>
      <c r="C10" s="10">
        <v>12058508.6</v>
      </c>
    </row>
    <row r="11" spans="1:3" x14ac:dyDescent="0.35">
      <c r="A11" s="11" t="s">
        <v>19</v>
      </c>
      <c r="B11" s="11">
        <v>1150</v>
      </c>
      <c r="C11" s="10">
        <v>11779009.1</v>
      </c>
    </row>
    <row r="13" spans="1:3" x14ac:dyDescent="0.35">
      <c r="B13" s="9" t="s">
        <v>50</v>
      </c>
      <c r="C13" s="8">
        <f>PEARSON(B2:B11,C2:C11)</f>
        <v>0.4814432315976091</v>
      </c>
    </row>
    <row r="16" spans="1:3" x14ac:dyDescent="0.35">
      <c r="C16"/>
    </row>
    <row r="17" customFormat="1"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D203B-421F-4D6A-94B5-A2148AAEB4DB}">
  <dimension ref="A1:E40"/>
  <sheetViews>
    <sheetView topLeftCell="A16" zoomScale="94" zoomScaleNormal="94" workbookViewId="0">
      <selection activeCell="C27" sqref="C27"/>
    </sheetView>
  </sheetViews>
  <sheetFormatPr defaultRowHeight="14.5" x14ac:dyDescent="0.35"/>
  <cols>
    <col min="1" max="1" width="12.81640625" bestFit="1" customWidth="1"/>
    <col min="2" max="2" width="12.6328125" bestFit="1" customWidth="1"/>
    <col min="3" max="3" width="11.6328125" bestFit="1" customWidth="1"/>
    <col min="4" max="4" width="12.81640625" bestFit="1" customWidth="1"/>
    <col min="5" max="5" width="12.453125" bestFit="1" customWidth="1"/>
  </cols>
  <sheetData>
    <row r="1" spans="1:5" x14ac:dyDescent="0.35">
      <c r="A1" s="1" t="s">
        <v>0</v>
      </c>
      <c r="B1" t="s">
        <v>12</v>
      </c>
      <c r="D1" s="1" t="s">
        <v>0</v>
      </c>
      <c r="E1" t="s">
        <v>12</v>
      </c>
    </row>
    <row r="2" spans="1:5" x14ac:dyDescent="0.35">
      <c r="A2" s="2" t="s">
        <v>6</v>
      </c>
      <c r="B2" s="3">
        <v>47883103.149999999</v>
      </c>
      <c r="D2" s="2" t="s">
        <v>27</v>
      </c>
      <c r="E2" s="3">
        <v>15185544.25</v>
      </c>
    </row>
    <row r="3" spans="1:5" x14ac:dyDescent="0.35">
      <c r="A3" s="2" t="s">
        <v>1</v>
      </c>
      <c r="B3" s="3">
        <v>50803409.700000003</v>
      </c>
      <c r="D3" s="2" t="s">
        <v>23</v>
      </c>
      <c r="E3" s="3">
        <v>14767580.199999999</v>
      </c>
    </row>
    <row r="4" spans="1:5" x14ac:dyDescent="0.35">
      <c r="A4" s="2" t="s">
        <v>9</v>
      </c>
      <c r="B4" s="3">
        <v>52069397.25</v>
      </c>
      <c r="D4" s="2" t="s">
        <v>30</v>
      </c>
      <c r="E4" s="3">
        <v>12934015.25</v>
      </c>
    </row>
    <row r="5" spans="1:5" x14ac:dyDescent="0.35">
      <c r="A5" s="2" t="s">
        <v>10</v>
      </c>
      <c r="B5" s="3">
        <v>52227366.450000003</v>
      </c>
      <c r="D5" s="2" t="s">
        <v>32</v>
      </c>
      <c r="E5" s="3">
        <v>12646602.9</v>
      </c>
    </row>
    <row r="6" spans="1:5" x14ac:dyDescent="0.35">
      <c r="A6" s="2" t="s">
        <v>4</v>
      </c>
      <c r="B6" s="3">
        <v>52587883.950000003</v>
      </c>
      <c r="D6" s="2" t="s">
        <v>18</v>
      </c>
      <c r="E6" s="3">
        <v>12376112.800000001</v>
      </c>
    </row>
    <row r="7" spans="1:5" x14ac:dyDescent="0.35">
      <c r="A7" s="2" t="s">
        <v>8</v>
      </c>
      <c r="B7" s="3">
        <v>54227902.299999997</v>
      </c>
      <c r="D7" s="2" t="s">
        <v>25</v>
      </c>
      <c r="E7" s="3">
        <v>12219033.75</v>
      </c>
    </row>
    <row r="8" spans="1:5" x14ac:dyDescent="0.35">
      <c r="A8" s="2" t="s">
        <v>2</v>
      </c>
      <c r="B8" s="3">
        <v>54932643</v>
      </c>
      <c r="D8" s="2" t="s">
        <v>15</v>
      </c>
      <c r="E8" s="3">
        <v>12211588.6</v>
      </c>
    </row>
    <row r="9" spans="1:5" x14ac:dyDescent="0.35">
      <c r="A9" s="2" t="s">
        <v>3</v>
      </c>
      <c r="B9" s="3">
        <v>55053908.299999997</v>
      </c>
      <c r="D9" s="2" t="s">
        <v>21</v>
      </c>
      <c r="E9" s="3">
        <v>12194033.75</v>
      </c>
    </row>
    <row r="10" spans="1:5" x14ac:dyDescent="0.35">
      <c r="A10" s="2" t="s">
        <v>5</v>
      </c>
      <c r="B10" s="3">
        <v>56647187.899999999</v>
      </c>
      <c r="D10" s="2" t="s">
        <v>20</v>
      </c>
      <c r="E10" s="3">
        <v>12058508.6</v>
      </c>
    </row>
    <row r="11" spans="1:5" x14ac:dyDescent="0.35">
      <c r="A11" s="2" t="s">
        <v>7</v>
      </c>
      <c r="B11" s="3">
        <v>57233222.350000001</v>
      </c>
      <c r="D11" s="2" t="s">
        <v>19</v>
      </c>
      <c r="E11" s="3">
        <v>11779009.1</v>
      </c>
    </row>
    <row r="12" spans="1:5" x14ac:dyDescent="0.35">
      <c r="A12" s="2" t="s">
        <v>11</v>
      </c>
      <c r="B12" s="3">
        <v>533666024.35000002</v>
      </c>
      <c r="D12" s="2" t="s">
        <v>11</v>
      </c>
      <c r="E12" s="3">
        <v>128372029.2</v>
      </c>
    </row>
    <row r="14" spans="1:5" x14ac:dyDescent="0.35">
      <c r="A14" s="1" t="s">
        <v>0</v>
      </c>
      <c r="B14" t="s">
        <v>13</v>
      </c>
      <c r="D14" s="1" t="s">
        <v>0</v>
      </c>
      <c r="E14" s="4" t="s">
        <v>33</v>
      </c>
    </row>
    <row r="15" spans="1:5" x14ac:dyDescent="0.35">
      <c r="A15" s="2" t="s">
        <v>5</v>
      </c>
      <c r="B15" s="3">
        <v>8693087.0299999993</v>
      </c>
      <c r="D15" s="2" t="s">
        <v>24</v>
      </c>
      <c r="E15" s="5">
        <v>0.17091681296345931</v>
      </c>
    </row>
    <row r="16" spans="1:5" x14ac:dyDescent="0.35">
      <c r="A16" s="2" t="s">
        <v>7</v>
      </c>
      <c r="B16" s="3">
        <v>8556846.9399999995</v>
      </c>
      <c r="D16" s="2" t="s">
        <v>26</v>
      </c>
      <c r="E16" s="5">
        <v>0.16493192298408871</v>
      </c>
    </row>
    <row r="17" spans="1:5" x14ac:dyDescent="0.35">
      <c r="A17" s="2" t="s">
        <v>3</v>
      </c>
      <c r="B17" s="3">
        <v>8445750.2899999991</v>
      </c>
      <c r="D17" s="2" t="s">
        <v>14</v>
      </c>
      <c r="E17" s="5">
        <v>0.16464972579310905</v>
      </c>
    </row>
    <row r="18" spans="1:5" x14ac:dyDescent="0.35">
      <c r="A18" s="2" t="s">
        <v>2</v>
      </c>
      <c r="B18" s="3">
        <v>8076273.29</v>
      </c>
      <c r="D18" s="2" t="s">
        <v>17</v>
      </c>
      <c r="E18" s="5">
        <v>0.16123998117495977</v>
      </c>
    </row>
    <row r="19" spans="1:5" x14ac:dyDescent="0.35">
      <c r="A19" s="2" t="s">
        <v>4</v>
      </c>
      <c r="B19" s="3">
        <v>8042133.8799999999</v>
      </c>
      <c r="D19" s="2" t="s">
        <v>29</v>
      </c>
      <c r="E19" s="5">
        <v>0.1604104856418786</v>
      </c>
    </row>
    <row r="20" spans="1:5" x14ac:dyDescent="0.35">
      <c r="A20" s="2" t="s">
        <v>10</v>
      </c>
      <c r="B20" s="3">
        <v>7986871.4400000004</v>
      </c>
      <c r="D20" s="2" t="s">
        <v>25</v>
      </c>
      <c r="E20" s="5">
        <v>0.1591922135414349</v>
      </c>
    </row>
    <row r="21" spans="1:5" x14ac:dyDescent="0.35">
      <c r="A21" s="2" t="s">
        <v>8</v>
      </c>
      <c r="B21" s="3">
        <v>7879573.29</v>
      </c>
      <c r="D21" s="2" t="s">
        <v>28</v>
      </c>
      <c r="E21" s="5">
        <v>0.15831663926740483</v>
      </c>
    </row>
    <row r="22" spans="1:5" x14ac:dyDescent="0.35">
      <c r="A22" s="2" t="s">
        <v>9</v>
      </c>
      <c r="B22" s="3">
        <v>7739430.04</v>
      </c>
      <c r="D22" s="2" t="s">
        <v>31</v>
      </c>
      <c r="E22" s="5">
        <v>0.1582367758240478</v>
      </c>
    </row>
    <row r="23" spans="1:5" x14ac:dyDescent="0.35">
      <c r="A23" s="2" t="s">
        <v>1</v>
      </c>
      <c r="B23" s="3">
        <v>7213436.0700000003</v>
      </c>
      <c r="D23" s="2" t="s">
        <v>22</v>
      </c>
      <c r="E23" s="5">
        <v>0.15739996347731883</v>
      </c>
    </row>
    <row r="24" spans="1:5" x14ac:dyDescent="0.35">
      <c r="A24" s="2" t="s">
        <v>6</v>
      </c>
      <c r="B24" s="3">
        <v>7075332.6399999997</v>
      </c>
      <c r="D24" s="2" t="s">
        <v>16</v>
      </c>
      <c r="E24" s="5">
        <v>0.15729372675796727</v>
      </c>
    </row>
    <row r="25" spans="1:5" x14ac:dyDescent="0.35">
      <c r="A25" s="2" t="s">
        <v>11</v>
      </c>
      <c r="B25" s="3">
        <v>79708734.909999996</v>
      </c>
      <c r="D25" s="2" t="s">
        <v>11</v>
      </c>
      <c r="E25" s="5">
        <v>0.16124233817095893</v>
      </c>
    </row>
    <row r="27" spans="1:5" x14ac:dyDescent="0.35">
      <c r="A27" s="1" t="s">
        <v>0</v>
      </c>
      <c r="B27" t="s">
        <v>55</v>
      </c>
      <c r="C27" t="s">
        <v>56</v>
      </c>
    </row>
    <row r="28" spans="1:5" x14ac:dyDescent="0.35">
      <c r="A28" s="2" t="s">
        <v>37</v>
      </c>
      <c r="B28" s="3">
        <v>42998043.200000003</v>
      </c>
      <c r="C28" s="3">
        <v>6360248.3200000003</v>
      </c>
    </row>
    <row r="29" spans="1:5" x14ac:dyDescent="0.35">
      <c r="A29" s="2" t="s">
        <v>38</v>
      </c>
      <c r="B29" s="3">
        <v>39755842.600000001</v>
      </c>
      <c r="C29" s="3">
        <v>5911879.8399999999</v>
      </c>
    </row>
    <row r="30" spans="1:5" x14ac:dyDescent="0.35">
      <c r="A30" s="2" t="s">
        <v>39</v>
      </c>
      <c r="B30" s="3">
        <v>44174004.100000001</v>
      </c>
      <c r="C30" s="3">
        <v>6769559</v>
      </c>
    </row>
    <row r="31" spans="1:5" x14ac:dyDescent="0.35">
      <c r="A31" s="2" t="s">
        <v>40</v>
      </c>
      <c r="B31" s="3">
        <v>43868599</v>
      </c>
      <c r="C31" s="3">
        <v>6392144.0800000001</v>
      </c>
    </row>
    <row r="32" spans="1:5" x14ac:dyDescent="0.35">
      <c r="A32" s="2" t="s">
        <v>41</v>
      </c>
      <c r="B32" s="3">
        <v>50755715.200000003</v>
      </c>
      <c r="C32" s="3">
        <v>7672315.2199999997</v>
      </c>
    </row>
    <row r="33" spans="1:3" x14ac:dyDescent="0.35">
      <c r="A33" s="2" t="s">
        <v>42</v>
      </c>
      <c r="B33" s="3">
        <v>42524458.700000003</v>
      </c>
      <c r="C33" s="3">
        <v>6445738.2699999996</v>
      </c>
    </row>
    <row r="34" spans="1:3" x14ac:dyDescent="0.35">
      <c r="A34" s="2" t="s">
        <v>43</v>
      </c>
      <c r="B34" s="3">
        <v>46545851.450000003</v>
      </c>
      <c r="C34" s="3">
        <v>6926330.2599999998</v>
      </c>
    </row>
    <row r="35" spans="1:3" x14ac:dyDescent="0.35">
      <c r="A35" s="2" t="s">
        <v>44</v>
      </c>
      <c r="B35" s="3">
        <v>46617810.700000003</v>
      </c>
      <c r="C35" s="3">
        <v>6861738.3200000003</v>
      </c>
    </row>
    <row r="36" spans="1:3" x14ac:dyDescent="0.35">
      <c r="A36" s="2" t="s">
        <v>45</v>
      </c>
      <c r="B36" s="3">
        <v>40611678.75</v>
      </c>
      <c r="C36" s="3">
        <v>5970281.4000000004</v>
      </c>
    </row>
    <row r="37" spans="1:3" x14ac:dyDescent="0.35">
      <c r="A37" s="2" t="s">
        <v>34</v>
      </c>
      <c r="B37" s="3">
        <v>46306477.25</v>
      </c>
      <c r="C37" s="3">
        <v>6878707.0300000003</v>
      </c>
    </row>
    <row r="38" spans="1:3" x14ac:dyDescent="0.35">
      <c r="A38" s="2" t="s">
        <v>35</v>
      </c>
      <c r="B38" s="3">
        <v>44076516.75</v>
      </c>
      <c r="C38" s="3">
        <v>6674732.3300000001</v>
      </c>
    </row>
    <row r="39" spans="1:3" x14ac:dyDescent="0.35">
      <c r="A39" s="2" t="s">
        <v>36</v>
      </c>
      <c r="B39" s="3">
        <v>45431026.649999999</v>
      </c>
      <c r="C39" s="3">
        <v>6845060.8399999999</v>
      </c>
    </row>
    <row r="40" spans="1:3" x14ac:dyDescent="0.35">
      <c r="A40" s="2" t="s">
        <v>11</v>
      </c>
      <c r="B40" s="3">
        <v>533666024.35000002</v>
      </c>
      <c r="C40" s="3">
        <v>79708734.909999996</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CF726-9390-4ECC-A93D-06DEB329F81B}">
  <dimension ref="A1:P71"/>
  <sheetViews>
    <sheetView showGridLines="0" tabSelected="1" topLeftCell="A33" zoomScale="83" zoomScaleNormal="83" workbookViewId="0">
      <selection activeCell="Q10" sqref="Q10"/>
    </sheetView>
  </sheetViews>
  <sheetFormatPr defaultRowHeight="14.5" x14ac:dyDescent="0.35"/>
  <sheetData>
    <row r="1" spans="1:16" ht="14.5" customHeight="1" x14ac:dyDescent="0.35">
      <c r="A1" s="36" t="s">
        <v>46</v>
      </c>
      <c r="B1" s="37"/>
      <c r="C1" s="37"/>
      <c r="D1" s="37"/>
      <c r="E1" s="37"/>
      <c r="F1" s="37"/>
      <c r="G1" s="37"/>
      <c r="H1" s="37"/>
      <c r="I1" s="37"/>
      <c r="J1" s="37"/>
      <c r="K1" s="37"/>
      <c r="L1" s="37"/>
      <c r="M1" s="37"/>
      <c r="N1" s="37"/>
      <c r="O1" s="37"/>
      <c r="P1" s="38"/>
    </row>
    <row r="2" spans="1:16" x14ac:dyDescent="0.35">
      <c r="A2" s="39"/>
      <c r="B2" s="40"/>
      <c r="C2" s="40"/>
      <c r="D2" s="40"/>
      <c r="E2" s="40"/>
      <c r="F2" s="40"/>
      <c r="G2" s="40"/>
      <c r="H2" s="40"/>
      <c r="I2" s="40"/>
      <c r="J2" s="40"/>
      <c r="K2" s="40"/>
      <c r="L2" s="40"/>
      <c r="M2" s="40"/>
      <c r="N2" s="40"/>
      <c r="O2" s="40"/>
      <c r="P2" s="41"/>
    </row>
    <row r="3" spans="1:16" x14ac:dyDescent="0.35">
      <c r="A3" s="39"/>
      <c r="B3" s="40"/>
      <c r="C3" s="40"/>
      <c r="D3" s="40"/>
      <c r="E3" s="40"/>
      <c r="F3" s="40"/>
      <c r="G3" s="40"/>
      <c r="H3" s="40"/>
      <c r="I3" s="40"/>
      <c r="J3" s="40"/>
      <c r="K3" s="40"/>
      <c r="L3" s="40"/>
      <c r="M3" s="40"/>
      <c r="N3" s="40"/>
      <c r="O3" s="40"/>
      <c r="P3" s="41"/>
    </row>
    <row r="4" spans="1:16" x14ac:dyDescent="0.35">
      <c r="A4" s="39"/>
      <c r="B4" s="40"/>
      <c r="C4" s="40"/>
      <c r="D4" s="40"/>
      <c r="E4" s="40"/>
      <c r="F4" s="40"/>
      <c r="G4" s="40"/>
      <c r="H4" s="40"/>
      <c r="I4" s="40"/>
      <c r="J4" s="40"/>
      <c r="K4" s="40"/>
      <c r="L4" s="40"/>
      <c r="M4" s="40"/>
      <c r="N4" s="40"/>
      <c r="O4" s="40"/>
      <c r="P4" s="41"/>
    </row>
    <row r="5" spans="1:16" ht="15" thickBot="1" x14ac:dyDescent="0.4">
      <c r="A5" s="42"/>
      <c r="B5" s="43"/>
      <c r="C5" s="43"/>
      <c r="D5" s="43"/>
      <c r="E5" s="43"/>
      <c r="F5" s="43"/>
      <c r="G5" s="43"/>
      <c r="H5" s="43"/>
      <c r="I5" s="43"/>
      <c r="J5" s="43"/>
      <c r="K5" s="43"/>
      <c r="L5" s="43"/>
      <c r="M5" s="43"/>
      <c r="N5" s="43"/>
      <c r="O5" s="43"/>
      <c r="P5" s="44"/>
    </row>
    <row r="6" spans="1:16" ht="14.5" customHeight="1" x14ac:dyDescent="0.35">
      <c r="A6" s="24" t="s">
        <v>54</v>
      </c>
      <c r="B6" s="25"/>
      <c r="C6" s="25"/>
      <c r="D6" s="26"/>
      <c r="E6" s="33" t="s">
        <v>47</v>
      </c>
      <c r="F6" s="34"/>
      <c r="G6" s="34"/>
      <c r="H6" s="35"/>
      <c r="I6" s="33" t="s">
        <v>48</v>
      </c>
      <c r="J6" s="34"/>
      <c r="K6" s="34"/>
      <c r="L6" s="35"/>
      <c r="M6" s="33" t="s">
        <v>49</v>
      </c>
      <c r="N6" s="34"/>
      <c r="O6" s="34"/>
      <c r="P6" s="35"/>
    </row>
    <row r="7" spans="1:16" ht="14.5" customHeight="1" x14ac:dyDescent="0.35">
      <c r="A7" s="27"/>
      <c r="B7" s="28"/>
      <c r="C7" s="28"/>
      <c r="D7" s="29"/>
      <c r="E7" s="27"/>
      <c r="F7" s="28"/>
      <c r="G7" s="28"/>
      <c r="H7" s="29"/>
      <c r="I7" s="27"/>
      <c r="J7" s="28"/>
      <c r="K7" s="28"/>
      <c r="L7" s="29"/>
      <c r="M7" s="27"/>
      <c r="N7" s="28"/>
      <c r="O7" s="28"/>
      <c r="P7" s="29"/>
    </row>
    <row r="8" spans="1:16" ht="14.5" customHeight="1" thickBot="1" x14ac:dyDescent="0.4">
      <c r="A8" s="30"/>
      <c r="B8" s="31"/>
      <c r="C8" s="31"/>
      <c r="D8" s="32"/>
      <c r="E8" s="30"/>
      <c r="F8" s="31"/>
      <c r="G8" s="31"/>
      <c r="H8" s="32"/>
      <c r="I8" s="30"/>
      <c r="J8" s="31"/>
      <c r="K8" s="31"/>
      <c r="L8" s="32"/>
      <c r="M8" s="30"/>
      <c r="N8" s="31"/>
      <c r="O8" s="31"/>
      <c r="P8" s="32"/>
    </row>
    <row r="9" spans="1:16" x14ac:dyDescent="0.35">
      <c r="A9" s="18"/>
      <c r="B9" s="19"/>
      <c r="C9" s="19"/>
      <c r="D9" s="19"/>
      <c r="E9" s="19"/>
      <c r="F9" s="19"/>
      <c r="G9" s="19"/>
      <c r="H9" s="19"/>
      <c r="I9" s="19"/>
      <c r="J9" s="19"/>
      <c r="K9" s="19"/>
      <c r="L9" s="19"/>
      <c r="M9" s="19"/>
      <c r="N9" s="19"/>
      <c r="O9" s="19"/>
      <c r="P9" s="20"/>
    </row>
    <row r="10" spans="1:16" x14ac:dyDescent="0.35">
      <c r="A10" s="21"/>
      <c r="B10" s="22"/>
      <c r="C10" s="22"/>
      <c r="D10" s="22"/>
      <c r="E10" s="22"/>
      <c r="F10" s="22"/>
      <c r="G10" s="22"/>
      <c r="H10" s="22"/>
      <c r="I10" s="22"/>
      <c r="J10" s="22"/>
      <c r="K10" s="22"/>
      <c r="L10" s="22"/>
      <c r="M10" s="22"/>
      <c r="N10" s="22"/>
      <c r="O10" s="22"/>
      <c r="P10" s="23"/>
    </row>
    <row r="11" spans="1:16" x14ac:dyDescent="0.35">
      <c r="A11" s="21"/>
      <c r="B11" s="22"/>
      <c r="C11" s="22"/>
      <c r="D11" s="22"/>
      <c r="E11" s="22"/>
      <c r="F11" s="22"/>
      <c r="G11" s="22"/>
      <c r="H11" s="22"/>
      <c r="I11" s="22"/>
      <c r="J11" s="22"/>
      <c r="K11" s="22"/>
      <c r="L11" s="22"/>
      <c r="M11" s="22"/>
      <c r="N11" s="22"/>
      <c r="O11" s="22"/>
      <c r="P11" s="23"/>
    </row>
    <row r="12" spans="1:16" x14ac:dyDescent="0.35">
      <c r="A12" s="21"/>
      <c r="B12" s="22"/>
      <c r="C12" s="22"/>
      <c r="D12" s="22"/>
      <c r="E12" s="22"/>
      <c r="F12" s="22"/>
      <c r="G12" s="22"/>
      <c r="H12" s="22"/>
      <c r="I12" s="22"/>
      <c r="J12" s="22"/>
      <c r="K12" s="22"/>
      <c r="L12" s="22"/>
      <c r="M12" s="22"/>
      <c r="N12" s="22"/>
      <c r="O12" s="22"/>
      <c r="P12" s="23"/>
    </row>
    <row r="13" spans="1:16" x14ac:dyDescent="0.35">
      <c r="A13" s="21"/>
      <c r="B13" s="22"/>
      <c r="C13" s="22"/>
      <c r="D13" s="22"/>
      <c r="E13" s="22"/>
      <c r="F13" s="22"/>
      <c r="G13" s="22"/>
      <c r="H13" s="22"/>
      <c r="I13" s="22"/>
      <c r="J13" s="22"/>
      <c r="K13" s="22"/>
      <c r="L13" s="22"/>
      <c r="M13" s="22"/>
      <c r="N13" s="22"/>
      <c r="O13" s="22"/>
      <c r="P13" s="23"/>
    </row>
    <row r="14" spans="1:16" x14ac:dyDescent="0.35">
      <c r="A14" s="21"/>
      <c r="B14" s="22"/>
      <c r="C14" s="22"/>
      <c r="D14" s="22"/>
      <c r="E14" s="22"/>
      <c r="F14" s="22"/>
      <c r="G14" s="22"/>
      <c r="H14" s="22"/>
      <c r="I14" s="22"/>
      <c r="J14" s="22"/>
      <c r="K14" s="22"/>
      <c r="L14" s="22"/>
      <c r="M14" s="22"/>
      <c r="N14" s="22"/>
      <c r="O14" s="22"/>
      <c r="P14" s="23"/>
    </row>
    <row r="15" spans="1:16" x14ac:dyDescent="0.35">
      <c r="A15" s="21"/>
      <c r="B15" s="22"/>
      <c r="C15" s="22"/>
      <c r="D15" s="22"/>
      <c r="E15" s="22"/>
      <c r="F15" s="22"/>
      <c r="G15" s="22"/>
      <c r="H15" s="22"/>
      <c r="I15" s="22"/>
      <c r="J15" s="22"/>
      <c r="K15" s="22"/>
      <c r="L15" s="22"/>
      <c r="M15" s="22"/>
      <c r="N15" s="22"/>
      <c r="O15" s="22"/>
      <c r="P15" s="23"/>
    </row>
    <row r="16" spans="1:16" x14ac:dyDescent="0.35">
      <c r="A16" s="21"/>
      <c r="B16" s="22"/>
      <c r="C16" s="22"/>
      <c r="D16" s="22"/>
      <c r="E16" s="22"/>
      <c r="F16" s="22"/>
      <c r="G16" s="22"/>
      <c r="H16" s="22"/>
      <c r="I16" s="22"/>
      <c r="J16" s="22"/>
      <c r="K16" s="22"/>
      <c r="L16" s="22"/>
      <c r="M16" s="22"/>
      <c r="N16" s="22"/>
      <c r="O16" s="22"/>
      <c r="P16" s="23"/>
    </row>
    <row r="17" spans="1:16" x14ac:dyDescent="0.35">
      <c r="A17" s="21"/>
      <c r="B17" s="22"/>
      <c r="C17" s="22"/>
      <c r="D17" s="22"/>
      <c r="E17" s="22"/>
      <c r="F17" s="22"/>
      <c r="G17" s="22"/>
      <c r="H17" s="22"/>
      <c r="I17" s="22"/>
      <c r="J17" s="22"/>
      <c r="K17" s="22"/>
      <c r="L17" s="22"/>
      <c r="M17" s="22"/>
      <c r="N17" s="22"/>
      <c r="O17" s="22"/>
      <c r="P17" s="23"/>
    </row>
    <row r="18" spans="1:16" x14ac:dyDescent="0.35">
      <c r="A18" s="21"/>
      <c r="B18" s="22"/>
      <c r="C18" s="22"/>
      <c r="D18" s="22"/>
      <c r="E18" s="22"/>
      <c r="F18" s="22"/>
      <c r="G18" s="22"/>
      <c r="H18" s="22"/>
      <c r="I18" s="22"/>
      <c r="J18" s="22"/>
      <c r="K18" s="22"/>
      <c r="L18" s="22"/>
      <c r="M18" s="22"/>
      <c r="N18" s="22"/>
      <c r="O18" s="22"/>
      <c r="P18" s="23"/>
    </row>
    <row r="19" spans="1:16" x14ac:dyDescent="0.35">
      <c r="A19" s="21"/>
      <c r="B19" s="22"/>
      <c r="C19" s="22"/>
      <c r="D19" s="22"/>
      <c r="E19" s="22"/>
      <c r="F19" s="22"/>
      <c r="G19" s="22"/>
      <c r="H19" s="22"/>
      <c r="I19" s="22"/>
      <c r="J19" s="22"/>
      <c r="K19" s="22"/>
      <c r="L19" s="22"/>
      <c r="M19" s="22"/>
      <c r="N19" s="22"/>
      <c r="O19" s="22"/>
      <c r="P19" s="23"/>
    </row>
    <row r="20" spans="1:16" x14ac:dyDescent="0.35">
      <c r="A20" s="21"/>
      <c r="B20" s="22"/>
      <c r="C20" s="22"/>
      <c r="D20" s="22"/>
      <c r="E20" s="22"/>
      <c r="F20" s="22"/>
      <c r="G20" s="22"/>
      <c r="H20" s="22"/>
      <c r="I20" s="22"/>
      <c r="J20" s="22"/>
      <c r="K20" s="22"/>
      <c r="L20" s="22"/>
      <c r="M20" s="22"/>
      <c r="N20" s="22"/>
      <c r="O20" s="22"/>
      <c r="P20" s="23"/>
    </row>
    <row r="21" spans="1:16" x14ac:dyDescent="0.35">
      <c r="A21" s="21"/>
      <c r="B21" s="22"/>
      <c r="C21" s="22"/>
      <c r="D21" s="22"/>
      <c r="E21" s="22"/>
      <c r="F21" s="22"/>
      <c r="G21" s="22"/>
      <c r="H21" s="22"/>
      <c r="I21" s="22"/>
      <c r="J21" s="22"/>
      <c r="K21" s="22"/>
      <c r="L21" s="22"/>
      <c r="M21" s="22"/>
      <c r="N21" s="22"/>
      <c r="O21" s="22"/>
      <c r="P21" s="23"/>
    </row>
    <row r="22" spans="1:16" x14ac:dyDescent="0.35">
      <c r="A22" s="21"/>
      <c r="B22" s="22"/>
      <c r="C22" s="22"/>
      <c r="D22" s="22"/>
      <c r="E22" s="22"/>
      <c r="F22" s="22"/>
      <c r="G22" s="22"/>
      <c r="H22" s="22"/>
      <c r="I22" s="22"/>
      <c r="J22" s="22"/>
      <c r="K22" s="22"/>
      <c r="L22" s="22"/>
      <c r="M22" s="22"/>
      <c r="N22" s="22"/>
      <c r="O22" s="22"/>
      <c r="P22" s="23"/>
    </row>
    <row r="23" spans="1:16" x14ac:dyDescent="0.35">
      <c r="A23" s="21"/>
      <c r="B23" s="22"/>
      <c r="C23" s="22"/>
      <c r="D23" s="22"/>
      <c r="E23" s="22"/>
      <c r="F23" s="22"/>
      <c r="G23" s="22"/>
      <c r="H23" s="22"/>
      <c r="I23" s="22"/>
      <c r="J23" s="22"/>
      <c r="K23" s="22"/>
      <c r="L23" s="22"/>
      <c r="M23" s="22"/>
      <c r="N23" s="22"/>
      <c r="O23" s="22"/>
      <c r="P23" s="23"/>
    </row>
    <row r="24" spans="1:16" x14ac:dyDescent="0.35">
      <c r="A24" s="21"/>
      <c r="B24" s="22"/>
      <c r="C24" s="22"/>
      <c r="D24" s="22"/>
      <c r="E24" s="22"/>
      <c r="F24" s="22"/>
      <c r="G24" s="22"/>
      <c r="H24" s="22"/>
      <c r="I24" s="22"/>
      <c r="J24" s="22"/>
      <c r="K24" s="22"/>
      <c r="L24" s="22"/>
      <c r="M24" s="22"/>
      <c r="N24" s="22"/>
      <c r="O24" s="22"/>
      <c r="P24" s="23"/>
    </row>
    <row r="25" spans="1:16" x14ac:dyDescent="0.35">
      <c r="A25" s="21"/>
      <c r="B25" s="22"/>
      <c r="C25" s="22"/>
      <c r="D25" s="22"/>
      <c r="E25" s="22"/>
      <c r="F25" s="22"/>
      <c r="G25" s="22"/>
      <c r="H25" s="22"/>
      <c r="I25" s="22"/>
      <c r="J25" s="22"/>
      <c r="K25" s="22"/>
      <c r="L25" s="22"/>
      <c r="M25" s="22"/>
      <c r="N25" s="22"/>
      <c r="O25" s="22"/>
      <c r="P25" s="23"/>
    </row>
    <row r="26" spans="1:16" x14ac:dyDescent="0.35">
      <c r="A26" s="21"/>
      <c r="B26" s="22"/>
      <c r="C26" s="22"/>
      <c r="D26" s="22"/>
      <c r="E26" s="22"/>
      <c r="F26" s="22"/>
      <c r="G26" s="22"/>
      <c r="H26" s="22"/>
      <c r="I26" s="22"/>
      <c r="J26" s="22"/>
      <c r="K26" s="22"/>
      <c r="L26" s="22"/>
      <c r="M26" s="22"/>
      <c r="N26" s="22"/>
      <c r="O26" s="22"/>
      <c r="P26" s="23"/>
    </row>
    <row r="27" spans="1:16" x14ac:dyDescent="0.35">
      <c r="A27" s="21"/>
      <c r="B27" s="22"/>
      <c r="C27" s="22"/>
      <c r="D27" s="22"/>
      <c r="E27" s="22"/>
      <c r="F27" s="22"/>
      <c r="G27" s="22"/>
      <c r="H27" s="22"/>
      <c r="I27" s="22"/>
      <c r="J27" s="22"/>
      <c r="K27" s="22"/>
      <c r="L27" s="22"/>
      <c r="M27" s="22"/>
      <c r="N27" s="22"/>
      <c r="O27" s="22"/>
      <c r="P27" s="23"/>
    </row>
    <row r="28" spans="1:16" x14ac:dyDescent="0.35">
      <c r="A28" s="21"/>
      <c r="B28" s="22"/>
      <c r="C28" s="22"/>
      <c r="D28" s="22"/>
      <c r="E28" s="22"/>
      <c r="F28" s="22"/>
      <c r="G28" s="22"/>
      <c r="H28" s="22"/>
      <c r="I28" s="22"/>
      <c r="J28" s="22"/>
      <c r="K28" s="22"/>
      <c r="L28" s="22"/>
      <c r="M28" s="22"/>
      <c r="N28" s="22"/>
      <c r="O28" s="22"/>
      <c r="P28" s="23"/>
    </row>
    <row r="29" spans="1:16" x14ac:dyDescent="0.35">
      <c r="A29" s="21"/>
      <c r="B29" s="22"/>
      <c r="C29" s="22"/>
      <c r="D29" s="22"/>
      <c r="E29" s="22"/>
      <c r="F29" s="22"/>
      <c r="G29" s="22"/>
      <c r="H29" s="22"/>
      <c r="I29" s="22"/>
      <c r="J29" s="22"/>
      <c r="K29" s="22"/>
      <c r="L29" s="22"/>
      <c r="M29" s="22"/>
      <c r="N29" s="22"/>
      <c r="O29" s="22"/>
      <c r="P29" s="23"/>
    </row>
    <row r="30" spans="1:16" x14ac:dyDescent="0.35">
      <c r="A30" s="21"/>
      <c r="B30" s="22"/>
      <c r="C30" s="22"/>
      <c r="D30" s="22"/>
      <c r="E30" s="22"/>
      <c r="F30" s="22"/>
      <c r="G30" s="22"/>
      <c r="H30" s="22"/>
      <c r="I30" s="22"/>
      <c r="J30" s="22"/>
      <c r="K30" s="22"/>
      <c r="L30" s="22"/>
      <c r="M30" s="22"/>
      <c r="N30" s="22"/>
      <c r="O30" s="22"/>
      <c r="P30" s="23"/>
    </row>
    <row r="31" spans="1:16" x14ac:dyDescent="0.35">
      <c r="A31" s="21"/>
      <c r="B31" s="22"/>
      <c r="C31" s="22"/>
      <c r="D31" s="22"/>
      <c r="E31" s="22"/>
      <c r="F31" s="22"/>
      <c r="G31" s="22"/>
      <c r="H31" s="22"/>
      <c r="I31" s="22"/>
      <c r="J31" s="22"/>
      <c r="K31" s="22"/>
      <c r="L31" s="22"/>
      <c r="M31" s="22"/>
      <c r="N31" s="22"/>
      <c r="O31" s="22"/>
      <c r="P31" s="23"/>
    </row>
    <row r="32" spans="1:16" x14ac:dyDescent="0.35">
      <c r="A32" s="21"/>
      <c r="B32" s="22"/>
      <c r="C32" s="22"/>
      <c r="D32" s="22"/>
      <c r="E32" s="22"/>
      <c r="F32" s="22"/>
      <c r="G32" s="22"/>
      <c r="H32" s="22"/>
      <c r="I32" s="22"/>
      <c r="J32" s="22"/>
      <c r="K32" s="22"/>
      <c r="L32" s="22"/>
      <c r="M32" s="22"/>
      <c r="N32" s="22"/>
      <c r="O32" s="22"/>
      <c r="P32" s="23"/>
    </row>
    <row r="33" spans="1:16" x14ac:dyDescent="0.35">
      <c r="A33" s="21"/>
      <c r="B33" s="22"/>
      <c r="C33" s="22"/>
      <c r="D33" s="22"/>
      <c r="E33" s="22"/>
      <c r="F33" s="22"/>
      <c r="G33" s="22"/>
      <c r="H33" s="22"/>
      <c r="I33" s="22"/>
      <c r="J33" s="22"/>
      <c r="K33" s="22"/>
      <c r="L33" s="22"/>
      <c r="M33" s="22"/>
      <c r="N33" s="22"/>
      <c r="O33" s="22"/>
      <c r="P33" s="23"/>
    </row>
    <row r="34" spans="1:16" x14ac:dyDescent="0.35">
      <c r="A34" s="21"/>
      <c r="B34" s="22"/>
      <c r="C34" s="22"/>
      <c r="D34" s="22"/>
      <c r="E34" s="22"/>
      <c r="F34" s="22"/>
      <c r="G34" s="22"/>
      <c r="H34" s="22"/>
      <c r="I34" s="22"/>
      <c r="J34" s="22"/>
      <c r="K34" s="22"/>
      <c r="L34" s="22"/>
      <c r="M34" s="22"/>
      <c r="N34" s="22"/>
      <c r="O34" s="22"/>
      <c r="P34" s="23"/>
    </row>
    <row r="35" spans="1:16" x14ac:dyDescent="0.35">
      <c r="A35" s="21"/>
      <c r="B35" s="22"/>
      <c r="C35" s="22"/>
      <c r="D35" s="22"/>
      <c r="E35" s="22"/>
      <c r="F35" s="22"/>
      <c r="G35" s="22"/>
      <c r="H35" s="22"/>
      <c r="I35" s="22"/>
      <c r="J35" s="22"/>
      <c r="K35" s="22"/>
      <c r="L35" s="22"/>
      <c r="M35" s="22"/>
      <c r="N35" s="22"/>
      <c r="O35" s="22"/>
      <c r="P35" s="23"/>
    </row>
    <row r="36" spans="1:16" x14ac:dyDescent="0.35">
      <c r="A36" s="21"/>
      <c r="B36" s="22"/>
      <c r="C36" s="22"/>
      <c r="D36" s="22"/>
      <c r="E36" s="22"/>
      <c r="F36" s="22"/>
      <c r="G36" s="22"/>
      <c r="H36" s="22"/>
      <c r="I36" s="22"/>
      <c r="J36" s="22"/>
      <c r="K36" s="22"/>
      <c r="L36" s="22"/>
      <c r="M36" s="22"/>
      <c r="N36" s="22"/>
      <c r="O36" s="22"/>
      <c r="P36" s="23"/>
    </row>
    <row r="37" spans="1:16" x14ac:dyDescent="0.35">
      <c r="A37" s="21"/>
      <c r="B37" s="22"/>
      <c r="C37" s="22"/>
      <c r="D37" s="22"/>
      <c r="E37" s="22"/>
      <c r="F37" s="22"/>
      <c r="G37" s="22"/>
      <c r="H37" s="22"/>
      <c r="I37" s="22"/>
      <c r="J37" s="22"/>
      <c r="K37" s="22"/>
      <c r="L37" s="22"/>
      <c r="M37" s="22"/>
      <c r="N37" s="22"/>
      <c r="O37" s="22"/>
      <c r="P37" s="23"/>
    </row>
    <row r="38" spans="1:16" x14ac:dyDescent="0.35">
      <c r="A38" s="21"/>
      <c r="B38" s="22"/>
      <c r="C38" s="22"/>
      <c r="D38" s="22"/>
      <c r="E38" s="22"/>
      <c r="F38" s="22"/>
      <c r="G38" s="22"/>
      <c r="H38" s="22"/>
      <c r="I38" s="22"/>
      <c r="J38" s="22"/>
      <c r="K38" s="22"/>
      <c r="L38" s="22"/>
      <c r="M38" s="22"/>
      <c r="N38" s="22"/>
      <c r="O38" s="22"/>
      <c r="P38" s="23"/>
    </row>
    <row r="39" spans="1:16" x14ac:dyDescent="0.35">
      <c r="A39" s="21"/>
      <c r="B39" s="22"/>
      <c r="C39" s="22"/>
      <c r="D39" s="22"/>
      <c r="E39" s="22"/>
      <c r="F39" s="22"/>
      <c r="G39" s="22"/>
      <c r="H39" s="22"/>
      <c r="I39" s="22"/>
      <c r="J39" s="22"/>
      <c r="K39" s="22"/>
      <c r="L39" s="22"/>
      <c r="M39" s="22"/>
      <c r="N39" s="22"/>
      <c r="O39" s="22"/>
      <c r="P39" s="23"/>
    </row>
    <row r="40" spans="1:16" x14ac:dyDescent="0.35">
      <c r="A40" s="21"/>
      <c r="B40" s="22"/>
      <c r="C40" s="22"/>
      <c r="D40" s="22"/>
      <c r="E40" s="22"/>
      <c r="F40" s="22"/>
      <c r="G40" s="22"/>
      <c r="H40" s="22"/>
      <c r="I40" s="22"/>
      <c r="J40" s="22"/>
      <c r="K40" s="22"/>
      <c r="L40" s="22"/>
      <c r="M40" s="22"/>
      <c r="N40" s="22"/>
      <c r="O40" s="22"/>
      <c r="P40" s="23"/>
    </row>
    <row r="41" spans="1:16" x14ac:dyDescent="0.35">
      <c r="A41" s="21"/>
      <c r="B41" s="22"/>
      <c r="C41" s="22"/>
      <c r="D41" s="22"/>
      <c r="E41" s="22"/>
      <c r="F41" s="22"/>
      <c r="G41" s="22"/>
      <c r="H41" s="22"/>
      <c r="I41" s="22"/>
      <c r="J41" s="22"/>
      <c r="K41" s="22"/>
      <c r="L41" s="22"/>
      <c r="M41" s="22"/>
      <c r="N41" s="22"/>
      <c r="O41" s="22"/>
      <c r="P41" s="23"/>
    </row>
    <row r="42" spans="1:16" x14ac:dyDescent="0.35">
      <c r="A42" s="21"/>
      <c r="B42" s="22"/>
      <c r="C42" s="22"/>
      <c r="D42" s="22"/>
      <c r="E42" s="22"/>
      <c r="F42" s="22"/>
      <c r="G42" s="22"/>
      <c r="H42" s="22"/>
      <c r="I42" s="22"/>
      <c r="J42" s="22"/>
      <c r="K42" s="22"/>
      <c r="L42" s="22"/>
      <c r="M42" s="22"/>
      <c r="N42" s="22"/>
      <c r="O42" s="22"/>
      <c r="P42" s="23"/>
    </row>
    <row r="43" spans="1:16" x14ac:dyDescent="0.35">
      <c r="A43" s="21"/>
      <c r="B43" s="22"/>
      <c r="C43" s="22"/>
      <c r="D43" s="22"/>
      <c r="E43" s="22"/>
      <c r="F43" s="22"/>
      <c r="G43" s="22"/>
      <c r="H43" s="22"/>
      <c r="I43" s="22"/>
      <c r="J43" s="22"/>
      <c r="K43" s="22"/>
      <c r="L43" s="22"/>
      <c r="M43" s="22"/>
      <c r="N43" s="22"/>
      <c r="O43" s="22"/>
      <c r="P43" s="23"/>
    </row>
    <row r="44" spans="1:16" x14ac:dyDescent="0.35">
      <c r="A44" s="21"/>
      <c r="B44" s="22"/>
      <c r="C44" s="22"/>
      <c r="D44" s="22"/>
      <c r="E44" s="22"/>
      <c r="F44" s="22"/>
      <c r="G44" s="22"/>
      <c r="H44" s="22"/>
      <c r="I44" s="22"/>
      <c r="J44" s="22"/>
      <c r="K44" s="22"/>
      <c r="L44" s="22"/>
      <c r="M44" s="22"/>
      <c r="N44" s="22"/>
      <c r="O44" s="22"/>
      <c r="P44" s="23"/>
    </row>
    <row r="45" spans="1:16" x14ac:dyDescent="0.35">
      <c r="A45" s="21"/>
      <c r="B45" s="22"/>
      <c r="C45" s="22"/>
      <c r="D45" s="22"/>
      <c r="E45" s="22"/>
      <c r="F45" s="22"/>
      <c r="G45" s="22"/>
      <c r="H45" s="22"/>
      <c r="I45" s="22"/>
      <c r="J45" s="22"/>
      <c r="K45" s="22"/>
      <c r="L45" s="22"/>
      <c r="M45" s="22"/>
      <c r="N45" s="22"/>
      <c r="O45" s="22"/>
      <c r="P45" s="23"/>
    </row>
    <row r="46" spans="1:16" x14ac:dyDescent="0.35">
      <c r="A46" s="21"/>
      <c r="B46" s="22"/>
      <c r="C46" s="22"/>
      <c r="D46" s="22"/>
      <c r="E46" s="22"/>
      <c r="F46" s="22"/>
      <c r="G46" s="22"/>
      <c r="H46" s="22"/>
      <c r="I46" s="22"/>
      <c r="J46" s="22"/>
      <c r="K46" s="22"/>
      <c r="L46" s="22"/>
      <c r="M46" s="22"/>
      <c r="N46" s="22"/>
      <c r="O46" s="22"/>
      <c r="P46" s="23"/>
    </row>
    <row r="47" spans="1:16" x14ac:dyDescent="0.35">
      <c r="A47" s="21"/>
      <c r="B47" s="22"/>
      <c r="C47" s="22"/>
      <c r="D47" s="22"/>
      <c r="E47" s="22"/>
      <c r="F47" s="22"/>
      <c r="G47" s="22"/>
      <c r="H47" s="22"/>
      <c r="I47" s="22"/>
      <c r="J47" s="22"/>
      <c r="K47" s="22"/>
      <c r="L47" s="22"/>
      <c r="M47" s="22"/>
      <c r="N47" s="22"/>
      <c r="O47" s="22"/>
      <c r="P47" s="23"/>
    </row>
    <row r="48" spans="1:16" x14ac:dyDescent="0.35">
      <c r="A48" s="21"/>
      <c r="B48" s="22"/>
      <c r="C48" s="22"/>
      <c r="D48" s="22"/>
      <c r="E48" s="22"/>
      <c r="F48" s="22"/>
      <c r="G48" s="22"/>
      <c r="H48" s="22"/>
      <c r="I48" s="22"/>
      <c r="J48" s="22"/>
      <c r="K48" s="22"/>
      <c r="L48" s="22"/>
      <c r="M48" s="22"/>
      <c r="N48" s="22"/>
      <c r="O48" s="22"/>
      <c r="P48" s="23"/>
    </row>
    <row r="49" spans="1:16" x14ac:dyDescent="0.35">
      <c r="A49" s="21"/>
      <c r="B49" s="22"/>
      <c r="C49" s="22"/>
      <c r="D49" s="22"/>
      <c r="E49" s="22"/>
      <c r="F49" s="22"/>
      <c r="G49" s="22"/>
      <c r="H49" s="22"/>
      <c r="I49" s="22"/>
      <c r="J49" s="22"/>
      <c r="K49" s="22"/>
      <c r="L49" s="22"/>
      <c r="M49" s="22"/>
      <c r="N49" s="22"/>
      <c r="O49" s="22"/>
      <c r="P49" s="23"/>
    </row>
    <row r="50" spans="1:16" x14ac:dyDescent="0.35">
      <c r="A50" s="21"/>
      <c r="B50" s="22"/>
      <c r="C50" s="22"/>
      <c r="D50" s="22"/>
      <c r="E50" s="22"/>
      <c r="F50" s="22"/>
      <c r="G50" s="22"/>
      <c r="H50" s="22"/>
      <c r="I50" s="22"/>
      <c r="J50" s="22"/>
      <c r="K50" s="22"/>
      <c r="L50" s="22"/>
      <c r="M50" s="22"/>
      <c r="N50" s="22"/>
      <c r="O50" s="22"/>
      <c r="P50" s="23"/>
    </row>
    <row r="51" spans="1:16" x14ac:dyDescent="0.35">
      <c r="A51" s="21"/>
      <c r="B51" s="22"/>
      <c r="C51" s="22"/>
      <c r="D51" s="22"/>
      <c r="E51" s="22"/>
      <c r="F51" s="22"/>
      <c r="G51" s="22"/>
      <c r="H51" s="22"/>
      <c r="I51" s="22"/>
      <c r="J51" s="22"/>
      <c r="K51" s="22"/>
      <c r="L51" s="22"/>
      <c r="M51" s="22"/>
      <c r="N51" s="22"/>
      <c r="O51" s="22"/>
      <c r="P51" s="23"/>
    </row>
    <row r="52" spans="1:16" x14ac:dyDescent="0.35">
      <c r="A52" s="21"/>
      <c r="B52" s="22"/>
      <c r="C52" s="22"/>
      <c r="D52" s="22"/>
      <c r="E52" s="22"/>
      <c r="F52" s="22"/>
      <c r="G52" s="22"/>
      <c r="H52" s="22"/>
      <c r="I52" s="22"/>
      <c r="J52" s="22"/>
      <c r="K52" s="22"/>
      <c r="L52" s="22"/>
      <c r="M52" s="22"/>
      <c r="N52" s="22"/>
      <c r="O52" s="22"/>
      <c r="P52" s="23"/>
    </row>
    <row r="53" spans="1:16" x14ac:dyDescent="0.35">
      <c r="A53" s="21"/>
      <c r="B53" s="22"/>
      <c r="C53" s="22"/>
      <c r="D53" s="22"/>
      <c r="E53" s="22"/>
      <c r="F53" s="22"/>
      <c r="G53" s="22"/>
      <c r="H53" s="22"/>
      <c r="I53" s="22"/>
      <c r="J53" s="22"/>
      <c r="K53" s="22"/>
      <c r="L53" s="22"/>
      <c r="M53" s="22"/>
      <c r="N53" s="22"/>
      <c r="O53" s="22"/>
      <c r="P53" s="23"/>
    </row>
    <row r="54" spans="1:16" x14ac:dyDescent="0.35">
      <c r="A54" s="21"/>
      <c r="B54" s="22"/>
      <c r="C54" s="22"/>
      <c r="D54" s="22"/>
      <c r="E54" s="22"/>
      <c r="F54" s="22"/>
      <c r="G54" s="22"/>
      <c r="H54" s="22"/>
      <c r="I54" s="22"/>
      <c r="J54" s="22"/>
      <c r="K54" s="22"/>
      <c r="L54" s="22"/>
      <c r="M54" s="22"/>
      <c r="N54" s="22"/>
      <c r="O54" s="22"/>
      <c r="P54" s="23"/>
    </row>
    <row r="55" spans="1:16" x14ac:dyDescent="0.35">
      <c r="A55" s="21"/>
      <c r="B55" s="22"/>
      <c r="C55" s="22"/>
      <c r="D55" s="22"/>
      <c r="E55" s="22"/>
      <c r="F55" s="22"/>
      <c r="G55" s="22"/>
      <c r="H55" s="22"/>
      <c r="I55" s="22"/>
      <c r="J55" s="22"/>
      <c r="K55" s="22"/>
      <c r="L55" s="22"/>
      <c r="M55" s="22"/>
      <c r="N55" s="22"/>
      <c r="O55" s="22"/>
      <c r="P55" s="23"/>
    </row>
    <row r="56" spans="1:16" x14ac:dyDescent="0.35">
      <c r="A56" s="21"/>
      <c r="B56" s="22"/>
      <c r="C56" s="22"/>
      <c r="D56" s="22"/>
      <c r="E56" s="22"/>
      <c r="F56" s="22"/>
      <c r="G56" s="22"/>
      <c r="H56" s="22"/>
      <c r="I56" s="22"/>
      <c r="J56" s="22"/>
      <c r="K56" s="22"/>
      <c r="L56" s="22"/>
      <c r="M56" s="22"/>
      <c r="N56" s="22"/>
      <c r="O56" s="22"/>
      <c r="P56" s="23"/>
    </row>
    <row r="57" spans="1:16" x14ac:dyDescent="0.35">
      <c r="A57" s="21"/>
      <c r="B57" s="22"/>
      <c r="C57" s="22"/>
      <c r="D57" s="22"/>
      <c r="E57" s="22"/>
      <c r="F57" s="22"/>
      <c r="G57" s="22"/>
      <c r="H57" s="22"/>
      <c r="I57" s="22"/>
      <c r="J57" s="22"/>
      <c r="K57" s="22"/>
      <c r="L57" s="22"/>
      <c r="M57" s="22"/>
      <c r="N57" s="22"/>
      <c r="O57" s="22"/>
      <c r="P57" s="23"/>
    </row>
    <row r="58" spans="1:16" x14ac:dyDescent="0.35">
      <c r="A58" s="21"/>
      <c r="B58" s="22"/>
      <c r="C58" s="22"/>
      <c r="D58" s="22"/>
      <c r="E58" s="22"/>
      <c r="F58" s="22"/>
      <c r="G58" s="22"/>
      <c r="H58" s="22"/>
      <c r="I58" s="22"/>
      <c r="J58" s="22"/>
      <c r="K58" s="22"/>
      <c r="L58" s="22"/>
      <c r="M58" s="22"/>
      <c r="N58" s="22"/>
      <c r="O58" s="22"/>
      <c r="P58" s="23"/>
    </row>
    <row r="59" spans="1:16" x14ac:dyDescent="0.35">
      <c r="A59" s="21"/>
      <c r="B59" s="22"/>
      <c r="C59" s="22"/>
      <c r="D59" s="22"/>
      <c r="E59" s="22"/>
      <c r="F59" s="22"/>
      <c r="G59" s="22"/>
      <c r="H59" s="22"/>
      <c r="I59" s="22"/>
      <c r="J59" s="22"/>
      <c r="K59" s="22"/>
      <c r="L59" s="22"/>
      <c r="M59" s="22"/>
      <c r="N59" s="22"/>
      <c r="O59" s="22"/>
      <c r="P59" s="23"/>
    </row>
    <row r="60" spans="1:16" ht="15" thickBot="1" x14ac:dyDescent="0.4">
      <c r="A60" s="21"/>
      <c r="B60" s="22"/>
      <c r="C60" s="22"/>
      <c r="D60" s="22"/>
      <c r="E60" s="22"/>
      <c r="F60" s="22"/>
      <c r="G60" s="22"/>
      <c r="H60" s="22"/>
      <c r="I60" s="22"/>
      <c r="J60" s="22"/>
      <c r="K60" s="22"/>
      <c r="L60" s="22"/>
      <c r="M60" s="22"/>
      <c r="N60" s="22"/>
      <c r="O60" s="22"/>
      <c r="P60" s="23"/>
    </row>
    <row r="61" spans="1:16" ht="15" thickBot="1" x14ac:dyDescent="0.4">
      <c r="A61" s="15"/>
      <c r="B61" s="16"/>
      <c r="C61" s="16"/>
      <c r="D61" s="16"/>
      <c r="E61" s="16"/>
      <c r="F61" s="16"/>
      <c r="G61" s="16"/>
      <c r="H61" s="16"/>
      <c r="I61" s="16"/>
      <c r="J61" s="16"/>
      <c r="K61" s="16"/>
      <c r="L61" s="16"/>
      <c r="M61" s="16"/>
      <c r="N61" s="16"/>
      <c r="O61" s="16"/>
      <c r="P61" s="17"/>
    </row>
    <row r="62" spans="1:16" x14ac:dyDescent="0.35">
      <c r="A62" s="14"/>
      <c r="B62" s="6"/>
      <c r="C62" s="6"/>
      <c r="D62" s="6"/>
      <c r="E62" s="6"/>
      <c r="F62" s="6"/>
      <c r="G62" s="6"/>
      <c r="H62" s="6"/>
      <c r="I62" s="6"/>
      <c r="J62" s="6"/>
      <c r="K62" s="6"/>
      <c r="L62" s="6"/>
      <c r="M62" s="6"/>
      <c r="N62" s="6"/>
      <c r="O62" s="6"/>
      <c r="P62" s="6"/>
    </row>
    <row r="63" spans="1:16" x14ac:dyDescent="0.35">
      <c r="A63" s="14"/>
      <c r="B63" s="6"/>
      <c r="C63" s="6"/>
      <c r="D63" s="6"/>
      <c r="E63" s="6"/>
      <c r="F63" s="6"/>
      <c r="G63" s="6"/>
      <c r="H63" s="6"/>
      <c r="I63" s="6"/>
      <c r="J63" s="6"/>
      <c r="K63" s="6"/>
      <c r="L63" s="6"/>
      <c r="M63" s="6"/>
      <c r="N63" s="6"/>
      <c r="O63" s="6"/>
      <c r="P63" s="6"/>
    </row>
    <row r="64" spans="1:16" x14ac:dyDescent="0.35">
      <c r="A64" s="14"/>
      <c r="B64" s="6"/>
      <c r="C64" s="6"/>
      <c r="D64" s="6"/>
      <c r="E64" s="6"/>
      <c r="F64" s="6"/>
      <c r="G64" s="6"/>
      <c r="H64" s="6"/>
      <c r="I64" s="6"/>
      <c r="J64" s="6"/>
      <c r="K64" s="6"/>
      <c r="L64" s="6"/>
      <c r="M64" s="6"/>
      <c r="N64" s="6"/>
      <c r="O64" s="6"/>
      <c r="P64" s="6"/>
    </row>
    <row r="65" spans="1:16" x14ac:dyDescent="0.35">
      <c r="A65" s="14"/>
      <c r="B65" s="6"/>
      <c r="C65" s="6"/>
      <c r="D65" s="6"/>
      <c r="E65" s="6"/>
      <c r="F65" s="6"/>
      <c r="G65" s="6"/>
      <c r="H65" s="6"/>
      <c r="I65" s="6"/>
      <c r="J65" s="6"/>
      <c r="K65" s="6"/>
      <c r="L65" s="6"/>
      <c r="M65" s="6"/>
      <c r="N65" s="6"/>
      <c r="O65" s="6"/>
      <c r="P65" s="6"/>
    </row>
    <row r="66" spans="1:16" x14ac:dyDescent="0.35">
      <c r="A66" s="14"/>
      <c r="B66" s="6"/>
      <c r="C66" s="6"/>
      <c r="D66" s="6"/>
      <c r="E66" s="6"/>
      <c r="F66" s="6"/>
      <c r="G66" s="6"/>
      <c r="H66" s="6"/>
      <c r="I66" s="6"/>
      <c r="J66" s="6"/>
      <c r="K66" s="6"/>
      <c r="L66" s="6"/>
      <c r="M66" s="6"/>
      <c r="N66" s="6"/>
      <c r="O66" s="6"/>
      <c r="P66" s="6"/>
    </row>
    <row r="67" spans="1:16" x14ac:dyDescent="0.35">
      <c r="A67" s="14"/>
      <c r="B67" s="6"/>
      <c r="C67" s="6"/>
      <c r="D67" s="6"/>
      <c r="E67" s="6"/>
      <c r="F67" s="6"/>
      <c r="G67" s="6"/>
      <c r="H67" s="6"/>
      <c r="I67" s="6"/>
      <c r="J67" s="6"/>
      <c r="K67" s="6"/>
      <c r="L67" s="6"/>
      <c r="M67" s="6"/>
      <c r="N67" s="6"/>
      <c r="O67" s="6"/>
      <c r="P67" s="6"/>
    </row>
    <row r="68" spans="1:16" x14ac:dyDescent="0.35">
      <c r="A68" s="14"/>
      <c r="B68" s="6"/>
      <c r="C68" s="6"/>
      <c r="D68" s="6"/>
      <c r="E68" s="6"/>
      <c r="F68" s="6"/>
      <c r="G68" s="6"/>
      <c r="H68" s="6"/>
      <c r="I68" s="6"/>
      <c r="J68" s="6"/>
      <c r="K68" s="6"/>
      <c r="L68" s="6"/>
      <c r="M68" s="6"/>
      <c r="N68" s="6"/>
      <c r="O68" s="6"/>
      <c r="P68" s="6"/>
    </row>
    <row r="69" spans="1:16" x14ac:dyDescent="0.35">
      <c r="A69" s="14"/>
      <c r="B69" s="6"/>
      <c r="C69" s="6"/>
      <c r="D69" s="6"/>
      <c r="E69" s="6"/>
      <c r="F69" s="6"/>
      <c r="G69" s="6"/>
      <c r="H69" s="6"/>
      <c r="I69" s="6"/>
      <c r="J69" s="6"/>
      <c r="K69" s="6"/>
      <c r="L69" s="6"/>
      <c r="M69" s="6"/>
      <c r="N69" s="6"/>
      <c r="O69" s="6"/>
      <c r="P69" s="6"/>
    </row>
    <row r="70" spans="1:16" x14ac:dyDescent="0.35">
      <c r="A70" s="6"/>
      <c r="B70" s="6"/>
      <c r="C70" s="6"/>
      <c r="D70" s="6"/>
      <c r="E70" s="6"/>
      <c r="F70" s="6"/>
      <c r="G70" s="6"/>
      <c r="H70" s="6"/>
      <c r="I70" s="6"/>
      <c r="J70" s="6"/>
      <c r="K70" s="6"/>
      <c r="L70" s="6"/>
      <c r="M70" s="6"/>
      <c r="N70" s="6"/>
      <c r="O70" s="6"/>
      <c r="P70" s="6"/>
    </row>
    <row r="71" spans="1:16" x14ac:dyDescent="0.35">
      <c r="A71" s="6"/>
      <c r="B71" s="6"/>
      <c r="C71" s="6"/>
      <c r="D71" s="6"/>
      <c r="E71" s="6"/>
      <c r="F71" s="6"/>
      <c r="G71" s="6"/>
      <c r="H71" s="6"/>
      <c r="I71" s="6"/>
      <c r="J71" s="6"/>
      <c r="K71" s="6"/>
      <c r="L71" s="6"/>
      <c r="M71" s="6"/>
      <c r="N71" s="6"/>
      <c r="O71" s="6"/>
      <c r="P71" s="6"/>
    </row>
  </sheetData>
  <mergeCells count="5">
    <mergeCell ref="A6:D8"/>
    <mergeCell ref="E6:H8"/>
    <mergeCell ref="I6:L8"/>
    <mergeCell ref="M6:P8"/>
    <mergeCell ref="A1:P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D32722CA-9093-495A-87E8-585F3F61B26B}">
  <ds:schemaRefs/>
</ds:datastoreItem>
</file>

<file path=customXml/itemProps2.xml><?xml version="1.0" encoding="utf-8"?>
<ds:datastoreItem xmlns:ds="http://schemas.openxmlformats.org/officeDocument/2006/customXml" ds:itemID="{EB5D139D-AF93-4DF8-82BE-5BBB52E5A4A5}">
  <ds:schemaRefs/>
</ds:datastoreItem>
</file>

<file path=customXml/itemProps3.xml><?xml version="1.0" encoding="utf-8"?>
<ds:datastoreItem xmlns:ds="http://schemas.openxmlformats.org/officeDocument/2006/customXml" ds:itemID="{0CB0DA79-65E8-4A39-8B8C-AB38613AECFF}">
  <ds:schemaRefs/>
</ds:datastoreItem>
</file>

<file path=customXml/itemProps4.xml><?xml version="1.0" encoding="utf-8"?>
<ds:datastoreItem xmlns:ds="http://schemas.openxmlformats.org/officeDocument/2006/customXml" ds:itemID="{0CBAB008-409C-40AE-BC2E-44DB5771E60A}">
  <ds:schemaRefs/>
</ds:datastoreItem>
</file>

<file path=customXml/itemProps5.xml><?xml version="1.0" encoding="utf-8"?>
<ds:datastoreItem xmlns:ds="http://schemas.openxmlformats.org/officeDocument/2006/customXml" ds:itemID="{0404DED0-2F4C-4E6A-9892-F171986878FB}">
  <ds:schemaRefs/>
</ds:datastoreItem>
</file>

<file path=customXml/itemProps6.xml><?xml version="1.0" encoding="utf-8"?>
<ds:datastoreItem xmlns:ds="http://schemas.openxmlformats.org/officeDocument/2006/customXml" ds:itemID="{2998C9A1-20DF-432D-89BD-5C1E3954E18D}">
  <ds:schemaRefs/>
</ds:datastoreItem>
</file>

<file path=customXml/itemProps7.xml><?xml version="1.0" encoding="utf-8"?>
<ds:datastoreItem xmlns:ds="http://schemas.openxmlformats.org/officeDocument/2006/customXml" ds:itemID="{8EDD735B-3EBA-43B4-BB7A-D7F3D174FBDC}">
  <ds:schemaRefs/>
</ds:datastoreItem>
</file>

<file path=customXml/itemProps8.xml><?xml version="1.0" encoding="utf-8"?>
<ds:datastoreItem xmlns:ds="http://schemas.openxmlformats.org/officeDocument/2006/customXml" ds:itemID="{607AFFB4-5AEA-4C53-B371-DBF63FC4B49A}">
  <ds:schemaRefs/>
</ds:datastoreItem>
</file>

<file path=customXml/itemProps9.xml><?xml version="1.0" encoding="utf-8"?>
<ds:datastoreItem xmlns:ds="http://schemas.openxmlformats.org/officeDocument/2006/customXml" ds:itemID="{8F8A14D4-5BD5-4F5C-AB20-3509C178A835}">
  <ds:schemaRefs/>
</ds:datastoreItem>
</file>

<file path=customXml/itemProps10.xml><?xml version="1.0" encoding="utf-8"?>
<ds:datastoreItem xmlns:ds="http://schemas.openxmlformats.org/officeDocument/2006/customXml" ds:itemID="{E2317BF5-B99A-459B-B899-26EA125C028C}">
  <ds:schemaRefs/>
</ds:datastoreItem>
</file>

<file path=customXml/itemProps11.xml><?xml version="1.0" encoding="utf-8"?>
<ds:datastoreItem xmlns:ds="http://schemas.openxmlformats.org/officeDocument/2006/customXml" ds:itemID="{14DA113B-2DF7-47C8-88F6-F4D180200600}">
  <ds:schemaRefs/>
</ds:datastoreItem>
</file>

<file path=customXml/itemProps12.xml><?xml version="1.0" encoding="utf-8"?>
<ds:datastoreItem xmlns:ds="http://schemas.openxmlformats.org/officeDocument/2006/customXml" ds:itemID="{79D5AFE5-3BE1-4597-85B2-4EE5A318DD80}">
  <ds:schemaRefs/>
</ds:datastoreItem>
</file>

<file path=customXml/itemProps13.xml><?xml version="1.0" encoding="utf-8"?>
<ds:datastoreItem xmlns:ds="http://schemas.openxmlformats.org/officeDocument/2006/customXml" ds:itemID="{7CDF59F7-488B-4039-8EC2-125AAC640F87}">
  <ds:schemaRefs/>
</ds:datastoreItem>
</file>

<file path=customXml/itemProps14.xml><?xml version="1.0" encoding="utf-8"?>
<ds:datastoreItem xmlns:ds="http://schemas.openxmlformats.org/officeDocument/2006/customXml" ds:itemID="{16E70631-120C-4844-83C9-6332AA3EB2C0}">
  <ds:schemaRefs/>
</ds:datastoreItem>
</file>

<file path=customXml/itemProps15.xml><?xml version="1.0" encoding="utf-8"?>
<ds:datastoreItem xmlns:ds="http://schemas.openxmlformats.org/officeDocument/2006/customXml" ds:itemID="{1F804FF8-0542-41C1-9B46-040759CBADFE}">
  <ds:schemaRefs/>
</ds:datastoreItem>
</file>

<file path=customXml/itemProps16.xml><?xml version="1.0" encoding="utf-8"?>
<ds:datastoreItem xmlns:ds="http://schemas.openxmlformats.org/officeDocument/2006/customXml" ds:itemID="{0EF38202-2744-4253-B823-7FE302F446D1}">
  <ds:schemaRefs/>
</ds:datastoreItem>
</file>

<file path=customXml/itemProps17.xml><?xml version="1.0" encoding="utf-8"?>
<ds:datastoreItem xmlns:ds="http://schemas.openxmlformats.org/officeDocument/2006/customXml" ds:itemID="{786392E8-22FD-4181-88B1-705316AD5334}">
  <ds:schemaRefs/>
</ds:datastoreItem>
</file>

<file path=customXml/itemProps18.xml><?xml version="1.0" encoding="utf-8"?>
<ds:datastoreItem xmlns:ds="http://schemas.openxmlformats.org/officeDocument/2006/customXml" ds:itemID="{E6B808E3-CE8B-4ADF-BA17-B0D74574E8E7}">
  <ds:schemaRefs/>
</ds:datastoreItem>
</file>

<file path=customXml/itemProps19.xml><?xml version="1.0" encoding="utf-8"?>
<ds:datastoreItem xmlns:ds="http://schemas.openxmlformats.org/officeDocument/2006/customXml" ds:itemID="{89B625C8-408C-494D-888F-7A7A8BC19B7F}">
  <ds:schemaRefs/>
</ds:datastoreItem>
</file>

<file path=customXml/itemProps20.xml><?xml version="1.0" encoding="utf-8"?>
<ds:datastoreItem xmlns:ds="http://schemas.openxmlformats.org/officeDocument/2006/customXml" ds:itemID="{54AFA7BA-CFCE-40CC-8B1A-F2F6B6A72F1D}">
  <ds:schemaRefs/>
</ds:datastoreItem>
</file>

<file path=customXml/itemProps21.xml><?xml version="1.0" encoding="utf-8"?>
<ds:datastoreItem xmlns:ds="http://schemas.openxmlformats.org/officeDocument/2006/customXml" ds:itemID="{2748C1BD-97A3-4651-AFF0-EBB27470448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correlation.csv2</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 fg</dc:creator>
  <cp:lastModifiedBy>fre fg</cp:lastModifiedBy>
  <dcterms:created xsi:type="dcterms:W3CDTF">2026-09-25T16:02:46Z</dcterms:created>
  <dcterms:modified xsi:type="dcterms:W3CDTF">2026-09-26T18:03:09Z</dcterms:modified>
</cp:coreProperties>
</file>